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Preço teto Bazin adaptado" sheetId="2" r:id="rId6"/>
    <sheet state="visible" name="Renda projetiva" sheetId="3" r:id="rId7"/>
    <sheet state="visible" name="Holding" sheetId="4" r:id="rId8"/>
    <sheet state="visible" name="Calculadoras" sheetId="5" r:id="rId9"/>
  </sheets>
  <definedNames>
    <definedName hidden="1" localSheetId="0" name="_xlnm._FilterDatabase">Dados!$A$3:$U$94</definedName>
    <definedName hidden="1" localSheetId="1" name="_xlnm._FilterDatabase">'Preço teto Bazin adaptado'!$A$3:$U$94</definedName>
    <definedName hidden="1" localSheetId="2" name="_xlnm._FilterDatabase">'Renda projetiva'!$A$3:$D$21</definedName>
    <definedName hidden="1" localSheetId="3" name="_xlnm._FilterDatabase">Holding!$A$3:$D$23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Neto: Bom para simular com aportes mensais</t>
      </text>
    </comment>
  </commentList>
</comments>
</file>

<file path=xl/sharedStrings.xml><?xml version="1.0" encoding="utf-8"?>
<sst xmlns="http://schemas.openxmlformats.org/spreadsheetml/2006/main" count="1008" uniqueCount="312">
  <si>
    <t>Link &gt;</t>
  </si>
  <si>
    <t>PLANILHA para os MEMBROS: QUAIS AS DIFERENÇAS? E FORMAS DE UTILIZAR</t>
  </si>
  <si>
    <t>Empresa</t>
  </si>
  <si>
    <t>Código</t>
  </si>
  <si>
    <t>Atuação</t>
  </si>
  <si>
    <t xml:space="preserve">Quantidade total de ações </t>
  </si>
  <si>
    <t>Valor de mercado</t>
  </si>
  <si>
    <t>Lucro líquido estimado</t>
  </si>
  <si>
    <t>P/L projetado</t>
  </si>
  <si>
    <t>P/L médio (últ. 10 anos)</t>
  </si>
  <si>
    <t>Desvio do P/L da sua média</t>
  </si>
  <si>
    <t>CAGR lucros (últ. 5 anos)</t>
  </si>
  <si>
    <t>Dívida líquida/EBITDA</t>
  </si>
  <si>
    <t>Lucro por ação estimado</t>
  </si>
  <si>
    <t>Payout esperado</t>
  </si>
  <si>
    <t>Dividendo por ação bruto projetado</t>
  </si>
  <si>
    <t>Dividend Yield bruto estimado</t>
  </si>
  <si>
    <t>Cotação atual</t>
  </si>
  <si>
    <t>Preço Teto</t>
  </si>
  <si>
    <t>Margem de segurança</t>
  </si>
  <si>
    <t>Frequência nos anúncios</t>
  </si>
  <si>
    <t>Meses que costumam anunciar dividendos</t>
  </si>
  <si>
    <t>Última atualização</t>
  </si>
  <si>
    <t>Irani</t>
  </si>
  <si>
    <t>RANI3</t>
  </si>
  <si>
    <t>Papel e Celulose</t>
  </si>
  <si>
    <t>5x por ano</t>
  </si>
  <si>
    <t>mar abr mai ago nov</t>
  </si>
  <si>
    <t>Pagbank</t>
  </si>
  <si>
    <t>PAGS34</t>
  </si>
  <si>
    <t>Serviços Financeiros</t>
  </si>
  <si>
    <t>Trimestral</t>
  </si>
  <si>
    <t>fev jun set e dez</t>
  </si>
  <si>
    <t>CSN Mineração</t>
  </si>
  <si>
    <t>CMIN3</t>
  </si>
  <si>
    <t>Mineração</t>
  </si>
  <si>
    <t>Quadrimestral</t>
  </si>
  <si>
    <t>abr jul dez</t>
  </si>
  <si>
    <t>Vulcabras</t>
  </si>
  <si>
    <t>VULC3</t>
  </si>
  <si>
    <t>Calçados</t>
  </si>
  <si>
    <t>Mensal</t>
  </si>
  <si>
    <t>jan a dezembro</t>
  </si>
  <si>
    <t>Gerdau</t>
  </si>
  <si>
    <t>GGBR3</t>
  </si>
  <si>
    <t>Siderurgia e Metalurgia</t>
  </si>
  <si>
    <t>mar mai ago nov</t>
  </si>
  <si>
    <t>Banco BMG</t>
  </si>
  <si>
    <t>BMGB4</t>
  </si>
  <si>
    <t>Bancos</t>
  </si>
  <si>
    <t>abr jul out e dez</t>
  </si>
  <si>
    <t>Kepler Weber</t>
  </si>
  <si>
    <t>KEPL3</t>
  </si>
  <si>
    <t>Agronegócio</t>
  </si>
  <si>
    <t>mar ago e out</t>
  </si>
  <si>
    <t>Multiplan</t>
  </si>
  <si>
    <t>MULT3</t>
  </si>
  <si>
    <t>Shoppings</t>
  </si>
  <si>
    <t>jun set e dez</t>
  </si>
  <si>
    <t>Marcopolo</t>
  </si>
  <si>
    <t>POMO3</t>
  </si>
  <si>
    <t>Industrial</t>
  </si>
  <si>
    <t>fev mai ago e nov</t>
  </si>
  <si>
    <t>IRB</t>
  </si>
  <si>
    <t>IRBR3</t>
  </si>
  <si>
    <t>Seguros</t>
  </si>
  <si>
    <t>Indefinido</t>
  </si>
  <si>
    <t>Porto Seguro</t>
  </si>
  <si>
    <t>PSSA3</t>
  </si>
  <si>
    <t>mar, jun e out</t>
  </si>
  <si>
    <t>Klabin</t>
  </si>
  <si>
    <t>KLBN11</t>
  </si>
  <si>
    <t>fev, mai, ago, nov</t>
  </si>
  <si>
    <t>Banco Bradesco</t>
  </si>
  <si>
    <t>BBDC3</t>
  </si>
  <si>
    <t>Semestral</t>
  </si>
  <si>
    <t>junho e dez</t>
  </si>
  <si>
    <t>KLBN4</t>
  </si>
  <si>
    <t>KLBN3</t>
  </si>
  <si>
    <t>Banco Mercantil</t>
  </si>
  <si>
    <t>BMEB3</t>
  </si>
  <si>
    <t>fevereiro e ago</t>
  </si>
  <si>
    <t>BB Seguridade</t>
  </si>
  <si>
    <t>BBSE3</t>
  </si>
  <si>
    <t>fevereiro e agosto</t>
  </si>
  <si>
    <t>Allos</t>
  </si>
  <si>
    <t>ALOS3</t>
  </si>
  <si>
    <t>jan-dez</t>
  </si>
  <si>
    <t>Metalúrgica Gerdau</t>
  </si>
  <si>
    <t>GOAU3</t>
  </si>
  <si>
    <t>CSU</t>
  </si>
  <si>
    <t>CSUD3</t>
  </si>
  <si>
    <t>Tecnologia</t>
  </si>
  <si>
    <t>mar abr jun set e dez</t>
  </si>
  <si>
    <t>Dexxos</t>
  </si>
  <si>
    <t>DEXP3</t>
  </si>
  <si>
    <t>abril e dezembro</t>
  </si>
  <si>
    <t>Banco Banrisul</t>
  </si>
  <si>
    <t>BRSR6</t>
  </si>
  <si>
    <t>Mar, jun, set, dez</t>
  </si>
  <si>
    <t>Tegma</t>
  </si>
  <si>
    <t>TGMA3</t>
  </si>
  <si>
    <t>Logistica</t>
  </si>
  <si>
    <t>abr ago e nov</t>
  </si>
  <si>
    <t>BMEB4</t>
  </si>
  <si>
    <t>Tim</t>
  </si>
  <si>
    <t>TIMS3</t>
  </si>
  <si>
    <t>Telecomunicações</t>
  </si>
  <si>
    <t>mar abr jun set dez</t>
  </si>
  <si>
    <t>Wiz</t>
  </si>
  <si>
    <t>WIZC3</t>
  </si>
  <si>
    <t>Anual</t>
  </si>
  <si>
    <t>abril</t>
  </si>
  <si>
    <t>Emae</t>
  </si>
  <si>
    <t>EMAE4</t>
  </si>
  <si>
    <t>Energia</t>
  </si>
  <si>
    <t>Banco Santander</t>
  </si>
  <si>
    <t>SANB3</t>
  </si>
  <si>
    <t>fev, abr, julho e out</t>
  </si>
  <si>
    <t>Banco Banese</t>
  </si>
  <si>
    <t>BGIP4</t>
  </si>
  <si>
    <t>fev maio ago e nov</t>
  </si>
  <si>
    <t>Grendene</t>
  </si>
  <si>
    <t>GRND3</t>
  </si>
  <si>
    <t>maio ago e nov</t>
  </si>
  <si>
    <t>SANB11</t>
  </si>
  <si>
    <t>Mahle Metal Leve</t>
  </si>
  <si>
    <t>LEVE3</t>
  </si>
  <si>
    <t>Automóveis e Motocicletas</t>
  </si>
  <si>
    <t>abril e nov</t>
  </si>
  <si>
    <t>POMO4</t>
  </si>
  <si>
    <t>BBDC4</t>
  </si>
  <si>
    <t>Odontoprev</t>
  </si>
  <si>
    <t>ODPV3</t>
  </si>
  <si>
    <t>8x por ano</t>
  </si>
  <si>
    <t>mar abr mai jun ago set nov dez</t>
  </si>
  <si>
    <t>BTG</t>
  </si>
  <si>
    <t>BPAC11</t>
  </si>
  <si>
    <t>jan ago e dez</t>
  </si>
  <si>
    <t>Log</t>
  </si>
  <si>
    <t>LOGG3</t>
  </si>
  <si>
    <t>Exploração de imóveis</t>
  </si>
  <si>
    <t>MDias Branco</t>
  </si>
  <si>
    <t>MDIA3</t>
  </si>
  <si>
    <t>Alimentos</t>
  </si>
  <si>
    <t>Banco da Amazônia</t>
  </si>
  <si>
    <t>BAZA3</t>
  </si>
  <si>
    <t>SANB4</t>
  </si>
  <si>
    <t>Suzano</t>
  </si>
  <si>
    <t>SUZB3</t>
  </si>
  <si>
    <t>abril e dez</t>
  </si>
  <si>
    <t>Banco Pine</t>
  </si>
  <si>
    <t>PINE4</t>
  </si>
  <si>
    <t>jan, abr, jul, out</t>
  </si>
  <si>
    <t>Ferbasa</t>
  </si>
  <si>
    <t>FESA4</t>
  </si>
  <si>
    <t>jun set dez</t>
  </si>
  <si>
    <t>Vale</t>
  </si>
  <si>
    <t>VALE3</t>
  </si>
  <si>
    <t>mar, ago e dez</t>
  </si>
  <si>
    <t>Romi</t>
  </si>
  <si>
    <t>ROMI3</t>
  </si>
  <si>
    <t>mar jun set e dez</t>
  </si>
  <si>
    <t>Banco ABC Brasil</t>
  </si>
  <si>
    <t>ABCB4</t>
  </si>
  <si>
    <t>BR Partners</t>
  </si>
  <si>
    <t>BRBI11</t>
  </si>
  <si>
    <t>mar maio ago e nov</t>
  </si>
  <si>
    <t>Stone</t>
  </si>
  <si>
    <t>STOC34</t>
  </si>
  <si>
    <t>Banco Itau</t>
  </si>
  <si>
    <t>ITUB3</t>
  </si>
  <si>
    <t>Comgás</t>
  </si>
  <si>
    <t>CGAS5</t>
  </si>
  <si>
    <t>Oléo, gás e biocomb.</t>
  </si>
  <si>
    <t>março, agosto e novembro</t>
  </si>
  <si>
    <t>Itausa</t>
  </si>
  <si>
    <t>ITSA4</t>
  </si>
  <si>
    <t>Holding</t>
  </si>
  <si>
    <t>Banco do Brasil</t>
  </si>
  <si>
    <t>BBAS3</t>
  </si>
  <si>
    <t>Caixa Seguridade</t>
  </si>
  <si>
    <t>CXSE3</t>
  </si>
  <si>
    <t>jan, abr, ago e nov</t>
  </si>
  <si>
    <t>SLC Agrícola</t>
  </si>
  <si>
    <t>SLCE3</t>
  </si>
  <si>
    <t>Sanepar</t>
  </si>
  <si>
    <t>SAPR4</t>
  </si>
  <si>
    <t>Saneamento</t>
  </si>
  <si>
    <t>jun e dez</t>
  </si>
  <si>
    <t>ITUB4</t>
  </si>
  <si>
    <t>Bradespar</t>
  </si>
  <si>
    <t>BRAP4</t>
  </si>
  <si>
    <t>abril e novembro</t>
  </si>
  <si>
    <t>SAPR11</t>
  </si>
  <si>
    <t>Brasilagro</t>
  </si>
  <si>
    <t>AGRO3</t>
  </si>
  <si>
    <t>outubro</t>
  </si>
  <si>
    <t>Grazziotin</t>
  </si>
  <si>
    <t>CGRA4</t>
  </si>
  <si>
    <t>Varejo</t>
  </si>
  <si>
    <t>CPFL Energia</t>
  </si>
  <si>
    <t>CPFE3</t>
  </si>
  <si>
    <t>abril e agosto</t>
  </si>
  <si>
    <t>JHSF</t>
  </si>
  <si>
    <t>JHSF3</t>
  </si>
  <si>
    <t>Imobiliário</t>
  </si>
  <si>
    <t>Alupar</t>
  </si>
  <si>
    <t>ALUP11</t>
  </si>
  <si>
    <t>abr mai ago nov</t>
  </si>
  <si>
    <t>Banestes</t>
  </si>
  <si>
    <t>BEES3</t>
  </si>
  <si>
    <t>CEB</t>
  </si>
  <si>
    <t>CEBR6</t>
  </si>
  <si>
    <t>Abril e novembro</t>
  </si>
  <si>
    <t>Shulz</t>
  </si>
  <si>
    <t>SHUL4</t>
  </si>
  <si>
    <t>Bens Industriais</t>
  </si>
  <si>
    <t>abr jun set dez</t>
  </si>
  <si>
    <t>Petrobras</t>
  </si>
  <si>
    <t>PETR4</t>
  </si>
  <si>
    <t>Fleury</t>
  </si>
  <si>
    <t>FLRY3</t>
  </si>
  <si>
    <t>Saúde</t>
  </si>
  <si>
    <t>março e dezembro</t>
  </si>
  <si>
    <t>Taesa</t>
  </si>
  <si>
    <t>TAEE3</t>
  </si>
  <si>
    <t>mai, ago, nov, dez</t>
  </si>
  <si>
    <t>Unifique</t>
  </si>
  <si>
    <t>FIQE3</t>
  </si>
  <si>
    <t>fev junho e dez</t>
  </si>
  <si>
    <t>Petroreconcâvo</t>
  </si>
  <si>
    <t>RECV3</t>
  </si>
  <si>
    <t>maio e dez</t>
  </si>
  <si>
    <t>B3</t>
  </si>
  <si>
    <t>B3SA3</t>
  </si>
  <si>
    <t>mar jun set dez</t>
  </si>
  <si>
    <t>Axia Energia</t>
  </si>
  <si>
    <t>AXIA3</t>
  </si>
  <si>
    <t>Abril e dezembro</t>
  </si>
  <si>
    <t>CEBR5</t>
  </si>
  <si>
    <t>TAEE11</t>
  </si>
  <si>
    <t>TAEE4</t>
  </si>
  <si>
    <t>Celesc</t>
  </si>
  <si>
    <t>CLSC4</t>
  </si>
  <si>
    <t>Cemig</t>
  </si>
  <si>
    <t>CMIG4</t>
  </si>
  <si>
    <t>Unipar</t>
  </si>
  <si>
    <t>UNIP6</t>
  </si>
  <si>
    <t>Químicos</t>
  </si>
  <si>
    <t>SAPR3</t>
  </si>
  <si>
    <t>ISA Energia</t>
  </si>
  <si>
    <t>ISAE4</t>
  </si>
  <si>
    <t>dezembro</t>
  </si>
  <si>
    <t>CEBR3</t>
  </si>
  <si>
    <t>Electro Aço Altona</t>
  </si>
  <si>
    <t>EALT4</t>
  </si>
  <si>
    <t>abril, junho e dezembro</t>
  </si>
  <si>
    <t>Copel</t>
  </si>
  <si>
    <t>CPLE3</t>
  </si>
  <si>
    <t>Copasa</t>
  </si>
  <si>
    <t>CSMG3</t>
  </si>
  <si>
    <t>mar, jun, set e dez</t>
  </si>
  <si>
    <t>Engie Brasil</t>
  </si>
  <si>
    <t>EGIE3</t>
  </si>
  <si>
    <t>maio, ago e dez</t>
  </si>
  <si>
    <t>Telefonica Vivo</t>
  </si>
  <si>
    <t>VIVT3</t>
  </si>
  <si>
    <t>6x por ano</t>
  </si>
  <si>
    <t>fev até dez</t>
  </si>
  <si>
    <t>Ambev</t>
  </si>
  <si>
    <t>ABEV3</t>
  </si>
  <si>
    <t>Bebidas</t>
  </si>
  <si>
    <t>Energisa</t>
  </si>
  <si>
    <t>ENGI4</t>
  </si>
  <si>
    <t>mar, ago e nov</t>
  </si>
  <si>
    <t>Vibra Energia</t>
  </si>
  <si>
    <t>VBBR3</t>
  </si>
  <si>
    <t>abr set e dez</t>
  </si>
  <si>
    <t>Vídeo da planilha:</t>
  </si>
  <si>
    <t>Preço Teto baseado em 7,55% de yield (Taxa do Tesouro IPCA+ 2037 com juros semestrais)</t>
  </si>
  <si>
    <t>Mdias Branco</t>
  </si>
  <si>
    <t>Ticker</t>
  </si>
  <si>
    <t>Qtd. de ações</t>
  </si>
  <si>
    <t>Dividendo por ação</t>
  </si>
  <si>
    <t>Renda anual esperada</t>
  </si>
  <si>
    <t>Capital alocado</t>
  </si>
  <si>
    <t>Dividend Yield</t>
  </si>
  <si>
    <t>Ano</t>
  </si>
  <si>
    <t>Renda Anual</t>
  </si>
  <si>
    <t>Renda Mensal</t>
  </si>
  <si>
    <t>Taxa de crescimento (vs ano anterior)</t>
  </si>
  <si>
    <t>Renda média mensal</t>
  </si>
  <si>
    <t>Patrimônio</t>
  </si>
  <si>
    <t>Dividend Yield esperado</t>
  </si>
  <si>
    <t>Link do vídeo:</t>
  </si>
  <si>
    <t>MÁQUINA de GERAR DINHEIRO? VEJA A SUA CARTEIRA COMO UMA HOLDING!</t>
  </si>
  <si>
    <t>Lucro por ação</t>
  </si>
  <si>
    <t>Lucro anual esperado</t>
  </si>
  <si>
    <t>Earning Yield</t>
  </si>
  <si>
    <t>Lucro Anual</t>
  </si>
  <si>
    <t>Lucro médio mensal</t>
  </si>
  <si>
    <t>Lucro esperado 2026</t>
  </si>
  <si>
    <t>Lucro médio diário</t>
  </si>
  <si>
    <t>Earning Yield esperado</t>
  </si>
  <si>
    <t>Link das Calculadoras</t>
  </si>
  <si>
    <t>Juros compostos</t>
  </si>
  <si>
    <t>Calculadora de Juros Compostos - Investidor10</t>
  </si>
  <si>
    <t>Primeiro milhão</t>
  </si>
  <si>
    <t>Calculadora do Primeiro Milhão</t>
  </si>
  <si>
    <t>Vídeo para entender na prática:</t>
  </si>
  <si>
    <t>✅ QUANTO TEMPO PARA ATINGIR O PRIMEIRO MILHÃO? QUANTO VOCÊ PRECISARÁ INVESTIR? AÇÕES e INVESTIMENTOS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</si>
</sst>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&quot;R$&quot;\ #,##0.0000"/>
    <numFmt numFmtId="165" formatCode="&quot;R$&quot;\ #,##0.00"/>
    <numFmt numFmtId="166" formatCode="[$R$ -416]#,##0.00"/>
    <numFmt numFmtId="167" formatCode="0.0"/>
    <numFmt numFmtId="168" formatCode="0.0%"/>
    <numFmt numFmtId="169" formatCode="dd/MM/yyyy"/>
    <numFmt numFmtId="170" formatCode="_-&quot;R$&quot;\ * #,##0.00_-;\-&quot;R$&quot;\ * #,##0.00_-;_-&quot;R$&quot;\ * &quot;-&quot;??_-;_-@"/>
    <numFmt numFmtId="171" formatCode="_-&quot;R$&quot;\ * #,##0_-;\-&quot;R$&quot;\ * #,##0_-;_-&quot;R$&quot;\ * &quot;-&quot;??_-;_-@"/>
    <numFmt numFmtId="172" formatCode="[$R$ -416]#,##0.0"/>
    <numFmt numFmtId="173" formatCode="_-&quot;R$&quot;\ * #,##0.0_-;\-&quot;R$&quot;\ * #,##0.0_-;_-&quot;R$&quot;\ * &quot;-&quot;??_-;_-@"/>
    <numFmt numFmtId="174" formatCode="[$R$ -416]#,##0"/>
  </numFmts>
  <fonts count="35">
    <font>
      <sz val="10.0"/>
      <color rgb="FF000000"/>
      <name val="Arial"/>
      <scheme val="minor"/>
    </font>
    <font>
      <b/>
      <sz val="12.0"/>
      <color rgb="FF000000"/>
      <name val="Calibri"/>
    </font>
    <font>
      <u/>
      <sz val="12.0"/>
      <color rgb="FF000000"/>
      <name val="Arial"/>
    </font>
    <font>
      <sz val="12.0"/>
      <color theme="0"/>
      <name val="Arial"/>
    </font>
    <font>
      <sz val="12.0"/>
      <color theme="0"/>
      <name val="Calibri"/>
    </font>
    <font>
      <b/>
      <sz val="12.0"/>
      <color theme="0"/>
      <name val="Calibri"/>
    </font>
    <font>
      <b/>
      <sz val="10.0"/>
      <color theme="0"/>
      <name val="Calibri"/>
    </font>
    <font>
      <b/>
      <sz val="12.0"/>
      <color rgb="FFFFFFFF"/>
      <name val="Calibri"/>
    </font>
    <font>
      <sz val="10.0"/>
      <color theme="1"/>
      <name val="Arial"/>
    </font>
    <font>
      <b/>
      <sz val="8.0"/>
      <color rgb="FF000000"/>
      <name val="Arial"/>
    </font>
    <font>
      <b/>
      <sz val="10.0"/>
      <color rgb="FF000000"/>
      <name val="Arial"/>
    </font>
    <font>
      <b/>
      <sz val="9.0"/>
      <color rgb="FF000000"/>
      <name val="Calibri"/>
    </font>
    <font>
      <b/>
      <sz val="9.0"/>
      <color rgb="FF333333"/>
      <name val="Calibri"/>
    </font>
    <font>
      <b/>
      <sz val="9.0"/>
      <color theme="1"/>
      <name val="Calibri"/>
    </font>
    <font>
      <b/>
      <sz val="7.0"/>
      <color rgb="FF000000"/>
      <name val="Calibri"/>
    </font>
    <font>
      <b/>
      <sz val="8.0"/>
      <color rgb="FF000000"/>
      <name val="Calibri"/>
    </font>
    <font>
      <b/>
      <color rgb="FF000000"/>
      <name val="Calibri"/>
    </font>
    <font>
      <b/>
      <sz val="9.0"/>
      <color rgb="FF38761D"/>
      <name val="Calibri"/>
    </font>
    <font>
      <sz val="12.0"/>
      <color theme="1"/>
      <name val="Calibri"/>
    </font>
    <font>
      <u/>
      <sz val="12.0"/>
      <color theme="0"/>
      <name val="Arial"/>
    </font>
    <font>
      <b/>
      <sz val="12.0"/>
      <color theme="1"/>
      <name val="Calibri"/>
    </font>
    <font>
      <b/>
      <u/>
      <sz val="12.0"/>
      <color theme="1"/>
      <name val="Calibri"/>
    </font>
    <font>
      <b/>
      <color theme="1"/>
      <name val="Arial"/>
    </font>
    <font>
      <b/>
      <sz val="9.0"/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Calibri"/>
    </font>
    <font>
      <b/>
      <u/>
      <sz val="12.0"/>
      <color theme="1"/>
      <name val="Calibri"/>
    </font>
    <font>
      <b/>
      <sz val="16.0"/>
      <color theme="1"/>
      <name val="Calibri"/>
    </font>
    <font>
      <sz val="16.0"/>
      <color theme="1"/>
      <name val="Calibri"/>
    </font>
    <font>
      <b/>
      <sz val="11.0"/>
      <color theme="1"/>
      <name val="Calibri"/>
    </font>
    <font>
      <u/>
      <sz val="12.0"/>
      <color rgb="FF0000FF"/>
      <name val="Calibri"/>
    </font>
    <font>
      <sz val="11.0"/>
      <color theme="1"/>
      <name val="Calibri"/>
    </font>
    <font>
      <u/>
      <sz val="12.0"/>
      <color rgb="FF0000FF"/>
      <name val="Calibri"/>
    </font>
    <font>
      <b/>
      <sz val="10.0"/>
      <color theme="1"/>
      <name val="Arial"/>
    </font>
    <font>
      <b/>
      <u/>
      <sz val="11.0"/>
      <color rgb="FF1155CC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DD0E1"/>
        <bgColor rgb="FF4DD0E1"/>
      </patternFill>
    </fill>
    <fill>
      <patternFill patternType="solid">
        <fgColor rgb="FF8989EB"/>
        <bgColor rgb="FF8989EB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  <fill>
      <patternFill patternType="solid">
        <fgColor rgb="FFE0F7FA"/>
        <bgColor rgb="FFE0F7FA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B6D7A8"/>
        <bgColor rgb="FFB6D7A8"/>
      </patternFill>
    </fill>
  </fills>
  <borders count="12">
    <border/>
    <border>
      <left/>
      <right/>
      <top/>
      <bottom/>
    </border>
    <border>
      <left/>
      <right/>
      <top style="thin">
        <color rgb="FFD0D7E5"/>
      </top>
      <bottom style="thin">
        <color rgb="FFD0D7E5"/>
      </bottom>
    </border>
    <border>
      <left style="thin">
        <color rgb="FFD0D7E5"/>
      </left>
      <right/>
      <top/>
      <bottom/>
    </border>
    <border>
      <left style="thin">
        <color rgb="FFD0D7E5"/>
      </left>
      <right style="thin">
        <color rgb="FFD0D7E5"/>
      </right>
      <top/>
      <bottom/>
    </border>
    <border>
      <left style="thin">
        <color rgb="FFD0D7E5"/>
      </left>
      <right style="thin">
        <color rgb="FFD0D7E5"/>
      </right>
      <top style="thin">
        <color rgb="FFD0D7E5"/>
      </top>
      <bottom/>
    </border>
    <border>
      <bottom/>
    </border>
    <border>
      <left/>
      <right style="thin">
        <color rgb="FFD0D7E5"/>
      </right>
      <top/>
      <bottom/>
    </border>
    <border>
      <left/>
      <right style="thin">
        <color rgb="FFD0D7E5"/>
      </right>
      <top style="thin">
        <color rgb="FFD0D7E5"/>
      </top>
      <bottom style="thin">
        <color rgb="FFD0D7E5"/>
      </bottom>
    </border>
    <border>
      <left/>
      <right style="thin">
        <color rgb="FFD0D7E5"/>
      </right>
    </border>
    <border>
      <right style="thin">
        <color rgb="FFD0D7E5"/>
      </right>
      <bottom/>
    </border>
    <border>
      <left style="thin">
        <color rgb="FFD0D7E5"/>
      </left>
      <right style="thin">
        <color rgb="FFD0D7E5"/>
      </right>
      <bottom/>
    </border>
  </borders>
  <cellStyleXfs count="1">
    <xf borderId="0" fillId="0" fontId="0" numFmtId="0" applyAlignment="1" applyFont="1"/>
  </cellStyleXfs>
  <cellXfs count="39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3" fontId="3" numFmtId="0" xfId="0" applyFill="1" applyFont="1"/>
    <xf borderId="0" fillId="3" fontId="4" numFmtId="0" xfId="0" applyFont="1"/>
    <xf borderId="0" fillId="3" fontId="5" numFmtId="0" xfId="0" applyAlignment="1" applyFont="1">
      <alignment horizontal="center"/>
    </xf>
    <xf borderId="0" fillId="3" fontId="4" numFmtId="0" xfId="0" applyAlignment="1" applyFont="1">
      <alignment horizontal="center"/>
    </xf>
    <xf borderId="0" fillId="3" fontId="6" numFmtId="0" xfId="0" applyAlignment="1" applyFont="1">
      <alignment horizontal="center"/>
    </xf>
    <xf borderId="0" fillId="3" fontId="7" numFmtId="0" xfId="0" applyAlignment="1" applyFont="1">
      <alignment horizontal="center"/>
    </xf>
    <xf borderId="0" fillId="3" fontId="8" numFmtId="0" xfId="0" applyFont="1"/>
    <xf borderId="1" fillId="4" fontId="7" numFmtId="0" xfId="0" applyAlignment="1" applyBorder="1" applyFill="1" applyFont="1">
      <alignment horizontal="center"/>
    </xf>
    <xf borderId="1" fillId="4" fontId="3" numFmtId="0" xfId="0" applyBorder="1" applyFont="1"/>
    <xf borderId="1" fillId="4" fontId="4" numFmtId="0" xfId="0" applyBorder="1" applyFont="1"/>
    <xf borderId="1" fillId="4" fontId="5" numFmtId="0" xfId="0" applyAlignment="1" applyBorder="1" applyFont="1">
      <alignment horizontal="center"/>
    </xf>
    <xf borderId="1" fillId="4" fontId="4" numFmtId="0" xfId="0" applyAlignment="1" applyBorder="1" applyFont="1">
      <alignment horizontal="center"/>
    </xf>
    <xf borderId="1" fillId="4" fontId="6" numFmtId="0" xfId="0" applyAlignment="1" applyBorder="1" applyFont="1">
      <alignment horizontal="center"/>
    </xf>
    <xf borderId="1" fillId="4" fontId="8" numFmtId="0" xfId="0" applyBorder="1" applyFont="1"/>
    <xf borderId="2" fillId="5" fontId="9" numFmtId="164" xfId="0" applyAlignment="1" applyBorder="1" applyFill="1" applyFont="1" applyNumberFormat="1">
      <alignment horizontal="center" shrinkToFit="0" vertical="center" wrapText="1"/>
    </xf>
    <xf borderId="2" fillId="5" fontId="10" numFmtId="164" xfId="0" applyAlignment="1" applyBorder="1" applyFont="1" applyNumberFormat="1">
      <alignment horizontal="center" shrinkToFit="0" vertical="center" wrapText="1"/>
    </xf>
    <xf borderId="2" fillId="5" fontId="9" numFmtId="165" xfId="0" applyAlignment="1" applyBorder="1" applyFont="1" applyNumberFormat="1">
      <alignment horizontal="center" shrinkToFit="0" vertical="center" wrapText="1"/>
    </xf>
    <xf borderId="2" fillId="5" fontId="10" numFmtId="165" xfId="0" applyAlignment="1" applyBorder="1" applyFont="1" applyNumberFormat="1">
      <alignment horizontal="center" shrinkToFit="0" vertical="center" wrapText="1"/>
    </xf>
    <xf borderId="2" fillId="5" fontId="9" numFmtId="165" xfId="0" applyAlignment="1" applyBorder="1" applyFont="1" applyNumberFormat="1">
      <alignment horizontal="center" readingOrder="0" shrinkToFit="0" vertical="center" wrapText="1"/>
    </xf>
    <xf borderId="3" fillId="6" fontId="11" numFmtId="0" xfId="0" applyAlignment="1" applyBorder="1" applyFill="1" applyFont="1">
      <alignment horizontal="center" vertical="center"/>
    </xf>
    <xf borderId="4" fillId="6" fontId="11" numFmtId="49" xfId="0" applyAlignment="1" applyBorder="1" applyFont="1" applyNumberFormat="1">
      <alignment horizontal="center" vertical="center"/>
    </xf>
    <xf borderId="5" fillId="6" fontId="11" numFmtId="0" xfId="0" applyAlignment="1" applyBorder="1" applyFont="1">
      <alignment horizontal="center" vertical="center"/>
    </xf>
    <xf borderId="1" fillId="6" fontId="11" numFmtId="4" xfId="0" applyAlignment="1" applyBorder="1" applyFont="1" applyNumberFormat="1">
      <alignment horizontal="center" readingOrder="0" vertical="center"/>
    </xf>
    <xf borderId="5" fillId="6" fontId="12" numFmtId="166" xfId="0" applyAlignment="1" applyBorder="1" applyFont="1" applyNumberFormat="1">
      <alignment horizontal="center" vertical="center"/>
    </xf>
    <xf borderId="5" fillId="6" fontId="11" numFmtId="166" xfId="0" applyAlignment="1" applyBorder="1" applyFont="1" applyNumberFormat="1">
      <alignment horizontal="center" readingOrder="0" vertical="center"/>
    </xf>
    <xf borderId="5" fillId="6" fontId="11" numFmtId="167" xfId="0" applyAlignment="1" applyBorder="1" applyFont="1" applyNumberFormat="1">
      <alignment horizontal="center" vertical="center"/>
    </xf>
    <xf borderId="1" fillId="6" fontId="11" numFmtId="167" xfId="0" applyAlignment="1" applyBorder="1" applyFont="1" applyNumberFormat="1">
      <alignment horizontal="center" readingOrder="0"/>
    </xf>
    <xf borderId="1" fillId="6" fontId="11" numFmtId="168" xfId="0" applyAlignment="1" applyBorder="1" applyFont="1" applyNumberFormat="1">
      <alignment horizontal="center" vertical="center"/>
    </xf>
    <xf borderId="1" fillId="6" fontId="11" numFmtId="168" xfId="0" applyAlignment="1" applyBorder="1" applyFont="1" applyNumberFormat="1">
      <alignment horizontal="center" readingOrder="0"/>
    </xf>
    <xf borderId="6" fillId="6" fontId="11" numFmtId="4" xfId="0" applyAlignment="1" applyBorder="1" applyFont="1" applyNumberFormat="1">
      <alignment horizontal="center" readingOrder="0" vertical="center"/>
    </xf>
    <xf borderId="5" fillId="6" fontId="11" numFmtId="165" xfId="0" applyAlignment="1" applyBorder="1" applyFont="1" applyNumberFormat="1">
      <alignment horizontal="center" vertical="center"/>
    </xf>
    <xf borderId="4" fillId="6" fontId="11" numFmtId="10" xfId="0" applyAlignment="1" applyBorder="1" applyFont="1" applyNumberFormat="1">
      <alignment horizontal="center" readingOrder="0" vertical="center"/>
    </xf>
    <xf borderId="5" fillId="6" fontId="11" numFmtId="168" xfId="0" applyAlignment="1" applyBorder="1" applyFont="1" applyNumberFormat="1">
      <alignment horizontal="center" vertical="center"/>
    </xf>
    <xf borderId="4" fillId="6" fontId="11" numFmtId="165" xfId="0" applyAlignment="1" applyBorder="1" applyFont="1" applyNumberFormat="1">
      <alignment horizontal="center" vertical="center"/>
    </xf>
    <xf borderId="5" fillId="6" fontId="11" numFmtId="165" xfId="0" applyAlignment="1" applyBorder="1" applyFont="1" applyNumberFormat="1">
      <alignment horizontal="center" readingOrder="0" vertical="center"/>
    </xf>
    <xf borderId="5" fillId="6" fontId="11" numFmtId="9" xfId="0" applyAlignment="1" applyBorder="1" applyFont="1" applyNumberFormat="1">
      <alignment horizontal="center" vertical="center"/>
    </xf>
    <xf borderId="5" fillId="6" fontId="11" numFmtId="169" xfId="0" applyAlignment="1" applyBorder="1" applyFont="1" applyNumberFormat="1">
      <alignment horizontal="center" readingOrder="0" vertical="center"/>
    </xf>
    <xf borderId="3" fillId="5" fontId="12" numFmtId="0" xfId="0" applyAlignment="1" applyBorder="1" applyFont="1">
      <alignment horizontal="center" readingOrder="0" vertical="center"/>
    </xf>
    <xf borderId="4" fillId="5" fontId="12" numFmtId="49" xfId="0" applyAlignment="1" applyBorder="1" applyFont="1" applyNumberFormat="1">
      <alignment horizontal="center" readingOrder="0" vertical="center"/>
    </xf>
    <xf borderId="5" fillId="5" fontId="12" numFmtId="0" xfId="0" applyAlignment="1" applyBorder="1" applyFont="1">
      <alignment horizontal="center" readingOrder="0" vertical="center"/>
    </xf>
    <xf borderId="4" fillId="5" fontId="12" numFmtId="4" xfId="0" applyAlignment="1" applyBorder="1" applyFont="1" applyNumberFormat="1">
      <alignment horizontal="center" readingOrder="0" vertical="center"/>
    </xf>
    <xf borderId="5" fillId="5" fontId="12" numFmtId="166" xfId="0" applyAlignment="1" applyBorder="1" applyFont="1" applyNumberFormat="1">
      <alignment horizontal="center" vertical="center"/>
    </xf>
    <xf borderId="5" fillId="5" fontId="11" numFmtId="166" xfId="0" applyAlignment="1" applyBorder="1" applyFont="1" applyNumberFormat="1">
      <alignment horizontal="center" readingOrder="0" vertical="center"/>
    </xf>
    <xf borderId="5" fillId="5" fontId="11" numFmtId="167" xfId="0" applyAlignment="1" applyBorder="1" applyFont="1" applyNumberFormat="1">
      <alignment horizontal="center" vertical="center"/>
    </xf>
    <xf borderId="1" fillId="5" fontId="13" numFmtId="167" xfId="0" applyAlignment="1" applyBorder="1" applyFont="1" applyNumberFormat="1">
      <alignment horizontal="center" readingOrder="0"/>
    </xf>
    <xf borderId="1" fillId="5" fontId="11" numFmtId="168" xfId="0" applyAlignment="1" applyBorder="1" applyFont="1" applyNumberFormat="1">
      <alignment horizontal="center" vertical="center"/>
    </xf>
    <xf borderId="1" fillId="5" fontId="13" numFmtId="168" xfId="0" applyAlignment="1" applyBorder="1" applyFont="1" applyNumberFormat="1">
      <alignment horizontal="center" readingOrder="0"/>
    </xf>
    <xf borderId="6" fillId="5" fontId="11" numFmtId="4" xfId="0" applyAlignment="1" applyBorder="1" applyFont="1" applyNumberFormat="1">
      <alignment horizontal="center" readingOrder="0" vertical="center"/>
    </xf>
    <xf borderId="5" fillId="5" fontId="11" numFmtId="165" xfId="0" applyAlignment="1" applyBorder="1" applyFont="1" applyNumberFormat="1">
      <alignment horizontal="center" vertical="center"/>
    </xf>
    <xf borderId="4" fillId="5" fontId="12" numFmtId="10" xfId="0" applyAlignment="1" applyBorder="1" applyFont="1" applyNumberFormat="1">
      <alignment horizontal="center" readingOrder="0" vertical="center"/>
    </xf>
    <xf borderId="5" fillId="5" fontId="11" numFmtId="168" xfId="0" applyAlignment="1" applyBorder="1" applyFont="1" applyNumberFormat="1">
      <alignment horizontal="center" vertical="center"/>
    </xf>
    <xf borderId="4" fillId="5" fontId="12" numFmtId="165" xfId="0" applyAlignment="1" applyBorder="1" applyFont="1" applyNumberFormat="1">
      <alignment horizontal="center" vertical="center"/>
    </xf>
    <xf borderId="5" fillId="5" fontId="11" numFmtId="165" xfId="0" applyAlignment="1" applyBorder="1" applyFont="1" applyNumberFormat="1">
      <alignment horizontal="center" readingOrder="0" vertical="center"/>
    </xf>
    <xf borderId="5" fillId="5" fontId="11" numFmtId="9" xfId="0" applyAlignment="1" applyBorder="1" applyFont="1" applyNumberFormat="1">
      <alignment horizontal="center" vertical="center"/>
    </xf>
    <xf borderId="5" fillId="5" fontId="13" numFmtId="0" xfId="0" applyAlignment="1" applyBorder="1" applyFont="1">
      <alignment horizontal="center" readingOrder="0"/>
    </xf>
    <xf borderId="5" fillId="5" fontId="11" numFmtId="169" xfId="0" applyAlignment="1" applyBorder="1" applyFont="1" applyNumberFormat="1">
      <alignment horizontal="center" readingOrder="0" vertical="center"/>
    </xf>
    <xf borderId="4" fillId="6" fontId="11" numFmtId="4" xfId="0" applyAlignment="1" applyBorder="1" applyFont="1" applyNumberFormat="1">
      <alignment horizontal="center" vertical="center"/>
    </xf>
    <xf borderId="6" fillId="6" fontId="11" numFmtId="4" xfId="0" applyAlignment="1" applyBorder="1" applyFont="1" applyNumberFormat="1">
      <alignment horizontal="center" vertical="center"/>
    </xf>
    <xf borderId="3" fillId="5" fontId="11" numFmtId="0" xfId="0" applyAlignment="1" applyBorder="1" applyFont="1">
      <alignment horizontal="center" vertical="center"/>
    </xf>
    <xf borderId="4" fillId="5" fontId="11" numFmtId="49" xfId="0" applyAlignment="1" applyBorder="1" applyFont="1" applyNumberFormat="1">
      <alignment horizontal="center" vertical="center"/>
    </xf>
    <xf borderId="4" fillId="5" fontId="11" numFmtId="0" xfId="0" applyAlignment="1" applyBorder="1" applyFont="1">
      <alignment horizontal="center" vertical="center"/>
    </xf>
    <xf borderId="4" fillId="5" fontId="11" numFmtId="4" xfId="0" applyAlignment="1" applyBorder="1" applyFont="1" applyNumberFormat="1">
      <alignment horizontal="center" readingOrder="0" vertical="center"/>
    </xf>
    <xf borderId="1" fillId="5" fontId="11" numFmtId="167" xfId="0" applyAlignment="1" applyBorder="1" applyFont="1" applyNumberFormat="1">
      <alignment horizontal="center" readingOrder="0"/>
    </xf>
    <xf borderId="1" fillId="5" fontId="11" numFmtId="168" xfId="0" applyAlignment="1" applyBorder="1" applyFont="1" applyNumberFormat="1">
      <alignment horizontal="center" readingOrder="0"/>
    </xf>
    <xf borderId="4" fillId="5" fontId="11" numFmtId="10" xfId="0" applyAlignment="1" applyBorder="1" applyFont="1" applyNumberFormat="1">
      <alignment horizontal="center" readingOrder="0" vertical="center"/>
    </xf>
    <xf borderId="4" fillId="5" fontId="11" numFmtId="165" xfId="0" applyAlignment="1" applyBorder="1" applyFont="1" applyNumberFormat="1">
      <alignment horizontal="center"/>
    </xf>
    <xf borderId="5" fillId="5" fontId="11" numFmtId="0" xfId="0" applyAlignment="1" applyBorder="1" applyFont="1">
      <alignment horizontal="center" readingOrder="0" vertical="center"/>
    </xf>
    <xf borderId="7" fillId="6" fontId="11" numFmtId="0" xfId="0" applyAlignment="1" applyBorder="1" applyFont="1">
      <alignment horizontal="center" vertical="center"/>
    </xf>
    <xf borderId="7" fillId="6" fontId="11" numFmtId="49" xfId="0" applyAlignment="1" applyBorder="1" applyFont="1" applyNumberFormat="1">
      <alignment horizontal="center" vertical="center"/>
    </xf>
    <xf borderId="8" fillId="6" fontId="11" numFmtId="0" xfId="0" applyAlignment="1" applyBorder="1" applyFont="1">
      <alignment horizontal="center" vertical="center"/>
    </xf>
    <xf borderId="7" fillId="6" fontId="11" numFmtId="4" xfId="0" applyAlignment="1" applyBorder="1" applyFont="1" applyNumberFormat="1">
      <alignment horizontal="center" readingOrder="0" vertical="center"/>
    </xf>
    <xf borderId="7" fillId="6" fontId="11" numFmtId="168" xfId="0" applyAlignment="1" applyBorder="1" applyFont="1" applyNumberFormat="1">
      <alignment horizontal="center" readingOrder="0"/>
    </xf>
    <xf borderId="9" fillId="6" fontId="11" numFmtId="4" xfId="0" applyAlignment="1" applyBorder="1" applyFont="1" applyNumberFormat="1">
      <alignment horizontal="center" readingOrder="0" vertical="center"/>
    </xf>
    <xf borderId="7" fillId="6" fontId="11" numFmtId="10" xfId="0" applyAlignment="1" applyBorder="1" applyFont="1" applyNumberFormat="1">
      <alignment horizontal="center" readingOrder="0" vertical="center"/>
    </xf>
    <xf borderId="8" fillId="6" fontId="11" numFmtId="165" xfId="0" applyAlignment="1" applyBorder="1" applyFont="1" applyNumberFormat="1">
      <alignment horizontal="center" vertical="center"/>
    </xf>
    <xf borderId="7" fillId="6" fontId="11" numFmtId="165" xfId="0" applyAlignment="1" applyBorder="1" applyFont="1" applyNumberFormat="1">
      <alignment horizontal="center" vertical="center"/>
    </xf>
    <xf borderId="8" fillId="6" fontId="11" numFmtId="165" xfId="0" applyAlignment="1" applyBorder="1" applyFont="1" applyNumberFormat="1">
      <alignment horizontal="center" readingOrder="0" vertical="center"/>
    </xf>
    <xf borderId="5" fillId="5" fontId="11" numFmtId="0" xfId="0" applyAlignment="1" applyBorder="1" applyFont="1">
      <alignment horizontal="center" vertical="center"/>
    </xf>
    <xf borderId="1" fillId="5" fontId="11" numFmtId="167" xfId="0" applyAlignment="1" applyBorder="1" applyFont="1" applyNumberFormat="1">
      <alignment horizontal="center"/>
    </xf>
    <xf borderId="6" fillId="5" fontId="11" numFmtId="4" xfId="0" applyAlignment="1" applyBorder="1" applyFont="1" applyNumberFormat="1">
      <alignment horizontal="center" vertical="center"/>
    </xf>
    <xf borderId="4" fillId="5" fontId="11" numFmtId="10" xfId="0" applyAlignment="1" applyBorder="1" applyFont="1" applyNumberFormat="1">
      <alignment horizontal="center" vertical="center"/>
    </xf>
    <xf borderId="1" fillId="6" fontId="11" numFmtId="167" xfId="0" applyAlignment="1" applyBorder="1" applyFont="1" applyNumberFormat="1">
      <alignment horizontal="center"/>
    </xf>
    <xf borderId="7" fillId="5" fontId="12" numFmtId="0" xfId="0" applyAlignment="1" applyBorder="1" applyFont="1">
      <alignment horizontal="center" vertical="center"/>
    </xf>
    <xf borderId="7" fillId="5" fontId="12" numFmtId="49" xfId="0" applyAlignment="1" applyBorder="1" applyFont="1" applyNumberFormat="1">
      <alignment horizontal="center" vertical="center"/>
    </xf>
    <xf borderId="7" fillId="5" fontId="12" numFmtId="4" xfId="0" applyAlignment="1" applyBorder="1" applyFont="1" applyNumberFormat="1">
      <alignment horizontal="center" vertical="center"/>
    </xf>
    <xf borderId="1" fillId="5" fontId="13" numFmtId="167" xfId="0" applyAlignment="1" applyBorder="1" applyFont="1" applyNumberFormat="1">
      <alignment horizontal="center"/>
    </xf>
    <xf borderId="7" fillId="5" fontId="13" numFmtId="168" xfId="0" applyAlignment="1" applyBorder="1" applyFont="1" applyNumberFormat="1">
      <alignment horizontal="center" readingOrder="0"/>
    </xf>
    <xf borderId="9" fillId="5" fontId="11" numFmtId="4" xfId="0" applyAlignment="1" applyBorder="1" applyFont="1" applyNumberFormat="1">
      <alignment horizontal="center" vertical="center"/>
    </xf>
    <xf borderId="7" fillId="5" fontId="12" numFmtId="10" xfId="0" applyAlignment="1" applyBorder="1" applyFont="1" applyNumberFormat="1">
      <alignment horizontal="center" readingOrder="0" vertical="center"/>
    </xf>
    <xf borderId="8" fillId="5" fontId="11" numFmtId="165" xfId="0" applyAlignment="1" applyBorder="1" applyFont="1" applyNumberFormat="1">
      <alignment horizontal="center" vertical="center"/>
    </xf>
    <xf borderId="7" fillId="5" fontId="12" numFmtId="165" xfId="0" applyAlignment="1" applyBorder="1" applyFont="1" applyNumberFormat="1">
      <alignment horizontal="center" vertical="center"/>
    </xf>
    <xf borderId="8" fillId="5" fontId="12" numFmtId="165" xfId="0" applyAlignment="1" applyBorder="1" applyFont="1" applyNumberFormat="1">
      <alignment horizontal="center" readingOrder="0" vertical="center"/>
    </xf>
    <xf borderId="8" fillId="5" fontId="12" numFmtId="0" xfId="0" applyAlignment="1" applyBorder="1" applyFont="1">
      <alignment horizontal="center" vertical="center"/>
    </xf>
    <xf borderId="8" fillId="5" fontId="13" numFmtId="0" xfId="0" applyAlignment="1" applyBorder="1" applyFont="1">
      <alignment horizontal="center"/>
    </xf>
    <xf borderId="3" fillId="6" fontId="12" numFmtId="0" xfId="0" applyAlignment="1" applyBorder="1" applyFont="1">
      <alignment horizontal="center" vertical="center"/>
    </xf>
    <xf borderId="4" fillId="6" fontId="12" numFmtId="49" xfId="0" applyAlignment="1" applyBorder="1" applyFont="1" applyNumberFormat="1">
      <alignment horizontal="center" vertical="center"/>
    </xf>
    <xf borderId="4" fillId="6" fontId="12" numFmtId="0" xfId="0" applyAlignment="1" applyBorder="1" applyFont="1">
      <alignment horizontal="center" vertical="center"/>
    </xf>
    <xf borderId="4" fillId="6" fontId="12" numFmtId="4" xfId="0" applyAlignment="1" applyBorder="1" applyFont="1" applyNumberFormat="1">
      <alignment horizontal="center" readingOrder="0" vertical="center"/>
    </xf>
    <xf borderId="1" fillId="6" fontId="13" numFmtId="167" xfId="0" applyAlignment="1" applyBorder="1" applyFont="1" applyNumberFormat="1">
      <alignment horizontal="center" readingOrder="0"/>
    </xf>
    <xf borderId="7" fillId="6" fontId="11" numFmtId="168" xfId="0" applyAlignment="1" applyBorder="1" applyFont="1" applyNumberFormat="1">
      <alignment horizontal="center"/>
    </xf>
    <xf borderId="10" fillId="6" fontId="11" numFmtId="4" xfId="0" applyAlignment="1" applyBorder="1" applyFont="1" applyNumberFormat="1">
      <alignment horizontal="center" vertical="center"/>
    </xf>
    <xf borderId="4" fillId="6" fontId="12" numFmtId="165" xfId="0" applyAlignment="1" applyBorder="1" applyFont="1" applyNumberFormat="1">
      <alignment horizontal="center" vertical="center"/>
    </xf>
    <xf borderId="5" fillId="6" fontId="13" numFmtId="0" xfId="0" applyAlignment="1" applyBorder="1" applyFont="1">
      <alignment horizontal="center"/>
    </xf>
    <xf borderId="4" fillId="5" fontId="12" numFmtId="0" xfId="0" applyAlignment="1" applyBorder="1" applyFont="1">
      <alignment horizontal="center" readingOrder="0" vertical="center"/>
    </xf>
    <xf borderId="5" fillId="5" fontId="12" numFmtId="165" xfId="0" applyAlignment="1" applyBorder="1" applyFont="1" applyNumberFormat="1">
      <alignment horizontal="center" readingOrder="0" vertical="center"/>
    </xf>
    <xf borderId="4" fillId="6" fontId="11" numFmtId="0" xfId="0" applyAlignment="1" applyBorder="1" applyFont="1">
      <alignment horizontal="center" vertical="center"/>
    </xf>
    <xf borderId="4" fillId="6" fontId="11" numFmtId="10" xfId="0" applyAlignment="1" applyBorder="1" applyFont="1" applyNumberFormat="1">
      <alignment horizontal="center" vertical="center"/>
    </xf>
    <xf borderId="1" fillId="5" fontId="11" numFmtId="168" xfId="0" applyAlignment="1" applyBorder="1" applyFont="1" applyNumberFormat="1">
      <alignment horizontal="center"/>
    </xf>
    <xf borderId="4" fillId="5" fontId="11" numFmtId="165" xfId="0" applyAlignment="1" applyBorder="1" applyFont="1" applyNumberFormat="1">
      <alignment horizontal="center" vertical="center"/>
    </xf>
    <xf borderId="4" fillId="6" fontId="11" numFmtId="4" xfId="0" applyAlignment="1" applyBorder="1" applyFont="1" applyNumberFormat="1">
      <alignment horizontal="center"/>
    </xf>
    <xf borderId="4" fillId="6" fontId="11" numFmtId="4" xfId="0" applyAlignment="1" applyBorder="1" applyFont="1" applyNumberFormat="1">
      <alignment horizontal="center" readingOrder="0" vertical="center"/>
    </xf>
    <xf borderId="8" fillId="6" fontId="11" numFmtId="168" xfId="0" applyAlignment="1" applyBorder="1" applyFont="1" applyNumberFormat="1">
      <alignment horizontal="center" vertical="center"/>
    </xf>
    <xf borderId="7" fillId="5" fontId="11" numFmtId="49" xfId="0" applyAlignment="1" applyBorder="1" applyFont="1" applyNumberFormat="1">
      <alignment horizontal="center" readingOrder="0" vertical="center"/>
    </xf>
    <xf borderId="7" fillId="5" fontId="11" numFmtId="0" xfId="0" applyAlignment="1" applyBorder="1" applyFont="1">
      <alignment horizontal="center" vertical="center"/>
    </xf>
    <xf borderId="7" fillId="5" fontId="11" numFmtId="4" xfId="0" applyAlignment="1" applyBorder="1" applyFont="1" applyNumberFormat="1">
      <alignment horizontal="center" readingOrder="0" vertical="center"/>
    </xf>
    <xf borderId="7" fillId="5" fontId="11" numFmtId="168" xfId="0" applyAlignment="1" applyBorder="1" applyFont="1" applyNumberFormat="1">
      <alignment horizontal="center" readingOrder="0"/>
    </xf>
    <xf borderId="7" fillId="5" fontId="11" numFmtId="10" xfId="0" applyAlignment="1" applyBorder="1" applyFont="1" applyNumberFormat="1">
      <alignment horizontal="center" readingOrder="0" vertical="center"/>
    </xf>
    <xf borderId="8" fillId="5" fontId="11" numFmtId="168" xfId="0" applyAlignment="1" applyBorder="1" applyFont="1" applyNumberFormat="1">
      <alignment horizontal="center" vertical="center"/>
    </xf>
    <xf borderId="7" fillId="5" fontId="11" numFmtId="165" xfId="0" applyAlignment="1" applyBorder="1" applyFont="1" applyNumberFormat="1">
      <alignment horizontal="center" vertical="center"/>
    </xf>
    <xf borderId="8" fillId="5" fontId="11" numFmtId="0" xfId="0" applyAlignment="1" applyBorder="1" applyFont="1">
      <alignment horizontal="center" vertical="center"/>
    </xf>
    <xf borderId="3" fillId="5" fontId="12" numFmtId="0" xfId="0" applyAlignment="1" applyBorder="1" applyFont="1">
      <alignment horizontal="center" vertical="center"/>
    </xf>
    <xf borderId="4" fillId="5" fontId="12" numFmtId="49" xfId="0" applyAlignment="1" applyBorder="1" applyFont="1" applyNumberFormat="1">
      <alignment horizontal="center" vertical="center"/>
    </xf>
    <xf borderId="4" fillId="5" fontId="12" numFmtId="0" xfId="0" applyAlignment="1" applyBorder="1" applyFont="1">
      <alignment horizontal="center" vertical="center"/>
    </xf>
    <xf borderId="10" fillId="5" fontId="11" numFmtId="4" xfId="0" applyAlignment="1" applyBorder="1" applyFont="1" applyNumberFormat="1">
      <alignment horizontal="center" vertical="center"/>
    </xf>
    <xf borderId="5" fillId="5" fontId="12" numFmtId="0" xfId="0" applyAlignment="1" applyBorder="1" applyFont="1">
      <alignment horizontal="center" vertical="center"/>
    </xf>
    <xf borderId="5" fillId="5" fontId="13" numFmtId="0" xfId="0" applyAlignment="1" applyBorder="1" applyFont="1">
      <alignment horizontal="center"/>
    </xf>
    <xf borderId="4" fillId="5" fontId="11" numFmtId="4" xfId="0" applyAlignment="1" applyBorder="1" applyFont="1" applyNumberFormat="1">
      <alignment horizontal="center" vertical="center"/>
    </xf>
    <xf borderId="5" fillId="5" fontId="11" numFmtId="0" xfId="0" applyAlignment="1" applyBorder="1" applyFont="1">
      <alignment horizontal="center"/>
    </xf>
    <xf borderId="5" fillId="5" fontId="12" numFmtId="165" xfId="0" applyAlignment="1" applyBorder="1" applyFont="1" applyNumberFormat="1">
      <alignment horizontal="center" vertical="center"/>
    </xf>
    <xf borderId="3" fillId="6" fontId="12" numFmtId="0" xfId="0" applyAlignment="1" applyBorder="1" applyFont="1">
      <alignment horizontal="center" readingOrder="0" vertical="center"/>
    </xf>
    <xf borderId="4" fillId="6" fontId="12" numFmtId="49" xfId="0" applyAlignment="1" applyBorder="1" applyFont="1" applyNumberFormat="1">
      <alignment horizontal="center" readingOrder="0" vertical="center"/>
    </xf>
    <xf borderId="4" fillId="6" fontId="12" numFmtId="0" xfId="0" applyAlignment="1" applyBorder="1" applyFont="1">
      <alignment horizontal="center" readingOrder="0" vertical="center"/>
    </xf>
    <xf borderId="1" fillId="6" fontId="13" numFmtId="168" xfId="0" applyAlignment="1" applyBorder="1" applyFont="1" applyNumberFormat="1">
      <alignment horizontal="center" readingOrder="0"/>
    </xf>
    <xf borderId="4" fillId="6" fontId="12" numFmtId="10" xfId="0" applyAlignment="1" applyBorder="1" applyFont="1" applyNumberFormat="1">
      <alignment horizontal="center" readingOrder="0" vertical="center"/>
    </xf>
    <xf borderId="5" fillId="6" fontId="12" numFmtId="165" xfId="0" applyAlignment="1" applyBorder="1" applyFont="1" applyNumberFormat="1">
      <alignment horizontal="center" readingOrder="0" vertical="center"/>
    </xf>
    <xf borderId="5" fillId="6" fontId="12" numFmtId="0" xfId="0" applyAlignment="1" applyBorder="1" applyFont="1">
      <alignment horizontal="center" readingOrder="0" vertical="center"/>
    </xf>
    <xf borderId="5" fillId="6" fontId="13" numFmtId="0" xfId="0" applyAlignment="1" applyBorder="1" applyFont="1">
      <alignment horizontal="center" readingOrder="0"/>
    </xf>
    <xf borderId="1" fillId="6" fontId="11" numFmtId="168" xfId="0" applyAlignment="1" applyBorder="1" applyFont="1" applyNumberFormat="1">
      <alignment horizontal="center"/>
    </xf>
    <xf borderId="5" fillId="6" fontId="11" numFmtId="0" xfId="0" applyAlignment="1" applyBorder="1" applyFont="1">
      <alignment horizontal="center"/>
    </xf>
    <xf borderId="3" fillId="6" fontId="11" numFmtId="0" xfId="0" applyAlignment="1" applyBorder="1" applyFont="1">
      <alignment horizontal="center"/>
    </xf>
    <xf borderId="4" fillId="6" fontId="11" numFmtId="49" xfId="0" applyAlignment="1" applyBorder="1" applyFont="1" applyNumberFormat="1">
      <alignment horizontal="center"/>
    </xf>
    <xf borderId="4" fillId="6" fontId="11" numFmtId="0" xfId="0" applyAlignment="1" applyBorder="1" applyFont="1">
      <alignment horizontal="center"/>
    </xf>
    <xf borderId="6" fillId="6" fontId="11" numFmtId="4" xfId="0" applyAlignment="1" applyBorder="1" applyFont="1" applyNumberFormat="1">
      <alignment horizontal="center"/>
    </xf>
    <xf borderId="4" fillId="6" fontId="11" numFmtId="10" xfId="0" applyAlignment="1" applyBorder="1" applyFont="1" applyNumberFormat="1">
      <alignment horizontal="center" readingOrder="0"/>
    </xf>
    <xf borderId="5" fillId="6" fontId="11" numFmtId="165" xfId="0" applyAlignment="1" applyBorder="1" applyFont="1" applyNumberFormat="1">
      <alignment horizontal="center"/>
    </xf>
    <xf borderId="4" fillId="6" fontId="11" numFmtId="165" xfId="0" applyAlignment="1" applyBorder="1" applyFont="1" applyNumberFormat="1">
      <alignment horizontal="center"/>
    </xf>
    <xf borderId="1" fillId="6" fontId="13" numFmtId="167" xfId="0" applyAlignment="1" applyBorder="1" applyFont="1" applyNumberFormat="1">
      <alignment horizontal="center"/>
    </xf>
    <xf borderId="4" fillId="5" fontId="11" numFmtId="4" xfId="0" applyAlignment="1" applyBorder="1" applyFont="1" applyNumberFormat="1">
      <alignment horizontal="center"/>
    </xf>
    <xf borderId="1" fillId="6" fontId="11" numFmtId="165" xfId="0" applyAlignment="1" applyBorder="1" applyFont="1" applyNumberFormat="1">
      <alignment horizontal="center" vertical="center"/>
    </xf>
    <xf borderId="5" fillId="6" fontId="11" numFmtId="0" xfId="0" applyAlignment="1" applyBorder="1" applyFont="1">
      <alignment horizontal="center" readingOrder="0" vertical="center"/>
    </xf>
    <xf borderId="5" fillId="6" fontId="14" numFmtId="0" xfId="0" applyAlignment="1" applyBorder="1" applyFont="1">
      <alignment horizontal="center" readingOrder="0" vertical="center"/>
    </xf>
    <xf borderId="1" fillId="6" fontId="12" numFmtId="165" xfId="0" applyAlignment="1" applyBorder="1" applyFont="1" applyNumberFormat="1">
      <alignment horizontal="center" vertical="center"/>
    </xf>
    <xf borderId="3" fillId="5" fontId="11" numFmtId="0" xfId="0" applyAlignment="1" applyBorder="1" applyFont="1">
      <alignment horizontal="center"/>
    </xf>
    <xf borderId="4" fillId="5" fontId="11" numFmtId="49" xfId="0" applyAlignment="1" applyBorder="1" applyFont="1" applyNumberFormat="1">
      <alignment horizontal="center"/>
    </xf>
    <xf borderId="4" fillId="5" fontId="11" numFmtId="0" xfId="0" applyAlignment="1" applyBorder="1" applyFont="1">
      <alignment horizontal="center"/>
    </xf>
    <xf borderId="6" fillId="5" fontId="11" numFmtId="4" xfId="0" applyAlignment="1" applyBorder="1" applyFont="1" applyNumberFormat="1">
      <alignment horizontal="center"/>
    </xf>
    <xf borderId="4" fillId="5" fontId="11" numFmtId="10" xfId="0" applyAlignment="1" applyBorder="1" applyFont="1" applyNumberFormat="1">
      <alignment horizontal="center" readingOrder="0"/>
    </xf>
    <xf borderId="5" fillId="5" fontId="11" numFmtId="165" xfId="0" applyAlignment="1" applyBorder="1" applyFont="1" applyNumberFormat="1">
      <alignment horizontal="center"/>
    </xf>
    <xf borderId="1" fillId="5" fontId="11" numFmtId="165" xfId="0" applyAlignment="1" applyBorder="1" applyFont="1" applyNumberFormat="1">
      <alignment horizontal="center" vertical="center"/>
    </xf>
    <xf borderId="1" fillId="5" fontId="11" numFmtId="167" xfId="0" applyAlignment="1" applyBorder="1" applyFont="1" applyNumberFormat="1">
      <alignment horizontal="center" vertical="center"/>
    </xf>
    <xf borderId="1" fillId="5" fontId="11" numFmtId="168" xfId="0" applyAlignment="1" applyBorder="1" applyFont="1" applyNumberFormat="1">
      <alignment horizontal="center" readingOrder="0" vertical="center"/>
    </xf>
    <xf borderId="1" fillId="6" fontId="11" numFmtId="166" xfId="0" applyAlignment="1" applyBorder="1" applyFont="1" applyNumberFormat="1">
      <alignment horizontal="center"/>
    </xf>
    <xf borderId="1" fillId="5" fontId="12" numFmtId="165" xfId="0" applyAlignment="1" applyBorder="1" applyFont="1" applyNumberFormat="1">
      <alignment horizontal="center" vertical="center"/>
    </xf>
    <xf borderId="5" fillId="5" fontId="15" numFmtId="0" xfId="0" applyAlignment="1" applyBorder="1" applyFont="1">
      <alignment horizontal="center"/>
    </xf>
    <xf borderId="4" fillId="5" fontId="11" numFmtId="168" xfId="0" applyAlignment="1" applyBorder="1" applyFont="1" applyNumberFormat="1">
      <alignment horizontal="center" readingOrder="0" vertical="center"/>
    </xf>
    <xf borderId="4" fillId="5" fontId="11" numFmtId="10" xfId="0" applyAlignment="1" applyBorder="1" applyFont="1" applyNumberFormat="1">
      <alignment horizontal="center"/>
    </xf>
    <xf borderId="1" fillId="5" fontId="11" numFmtId="165" xfId="0" applyAlignment="1" applyBorder="1" applyFont="1" applyNumberFormat="1">
      <alignment horizontal="center"/>
    </xf>
    <xf borderId="6" fillId="6" fontId="11" numFmtId="165" xfId="0" applyAlignment="1" applyBorder="1" applyFont="1" applyNumberFormat="1">
      <alignment horizontal="center" vertical="center"/>
    </xf>
    <xf borderId="5" fillId="5" fontId="11" numFmtId="168" xfId="0" applyAlignment="1" applyBorder="1" applyFont="1" applyNumberFormat="1">
      <alignment horizontal="center"/>
    </xf>
    <xf borderId="6" fillId="5" fontId="11" numFmtId="165" xfId="0" applyAlignment="1" applyBorder="1" applyFont="1" applyNumberFormat="1">
      <alignment horizontal="center"/>
    </xf>
    <xf borderId="6" fillId="6" fontId="9" numFmtId="165" xfId="0" applyAlignment="1" applyBorder="1" applyFont="1" applyNumberFormat="1">
      <alignment horizontal="center"/>
    </xf>
    <xf borderId="5" fillId="5" fontId="11" numFmtId="166" xfId="0" applyAlignment="1" applyBorder="1" applyFont="1" applyNumberFormat="1">
      <alignment horizontal="center" vertical="center"/>
    </xf>
    <xf borderId="6" fillId="5" fontId="11" numFmtId="165" xfId="0" applyAlignment="1" applyBorder="1" applyFont="1" applyNumberFormat="1">
      <alignment horizontal="center" vertical="center"/>
    </xf>
    <xf borderId="0" fillId="5" fontId="11" numFmtId="165" xfId="0" applyAlignment="1" applyFont="1" applyNumberFormat="1">
      <alignment horizontal="center" vertical="center"/>
    </xf>
    <xf borderId="5" fillId="6" fontId="13" numFmtId="166" xfId="0" applyAlignment="1" applyBorder="1" applyFont="1" applyNumberFormat="1">
      <alignment horizontal="center" readingOrder="0"/>
    </xf>
    <xf borderId="6" fillId="6" fontId="13" numFmtId="4" xfId="0" applyAlignment="1" applyBorder="1" applyFont="1" applyNumberFormat="1">
      <alignment horizontal="center"/>
    </xf>
    <xf borderId="0" fillId="6" fontId="11" numFmtId="165" xfId="0" applyAlignment="1" applyFont="1" applyNumberFormat="1">
      <alignment horizontal="center" vertical="center"/>
    </xf>
    <xf borderId="0" fillId="6" fontId="11" numFmtId="0" xfId="0" applyAlignment="1" applyFont="1">
      <alignment horizontal="center" vertical="center"/>
    </xf>
    <xf borderId="0" fillId="5" fontId="11" numFmtId="0" xfId="0" applyAlignment="1" applyFont="1">
      <alignment horizontal="center" vertical="center"/>
    </xf>
    <xf borderId="0" fillId="5" fontId="11" numFmtId="0" xfId="0" applyAlignment="1" applyFont="1">
      <alignment horizontal="center"/>
    </xf>
    <xf borderId="0" fillId="6" fontId="11" numFmtId="165" xfId="0" applyAlignment="1" applyFont="1" applyNumberFormat="1">
      <alignment horizontal="center"/>
    </xf>
    <xf borderId="0" fillId="6" fontId="16" numFmtId="0" xfId="0" applyAlignment="1" applyFont="1">
      <alignment horizontal="center"/>
    </xf>
    <xf borderId="0" fillId="6" fontId="12" numFmtId="165" xfId="0" applyAlignment="1" applyFont="1" applyNumberFormat="1">
      <alignment horizontal="center" vertical="center"/>
    </xf>
    <xf borderId="5" fillId="6" fontId="12" numFmtId="0" xfId="0" applyAlignment="1" applyBorder="1" applyFont="1">
      <alignment horizontal="center" vertical="center"/>
    </xf>
    <xf borderId="0" fillId="6" fontId="13" numFmtId="0" xfId="0" applyAlignment="1" applyFont="1">
      <alignment horizontal="center"/>
    </xf>
    <xf borderId="5" fillId="5" fontId="13" numFmtId="166" xfId="0" applyAlignment="1" applyBorder="1" applyFont="1" applyNumberFormat="1">
      <alignment horizontal="center" readingOrder="0"/>
    </xf>
    <xf borderId="6" fillId="5" fontId="13" numFmtId="4" xfId="0" applyAlignment="1" applyBorder="1" applyFont="1" applyNumberFormat="1">
      <alignment horizontal="center"/>
    </xf>
    <xf borderId="11" fillId="6" fontId="11" numFmtId="165" xfId="0" applyAlignment="1" applyBorder="1" applyFont="1" applyNumberFormat="1">
      <alignment horizontal="center" vertical="center"/>
    </xf>
    <xf borderId="11" fillId="5" fontId="11" numFmtId="165" xfId="0" applyAlignment="1" applyBorder="1" applyFont="1" applyNumberFormat="1">
      <alignment horizontal="center" vertical="center"/>
    </xf>
    <xf borderId="3" fillId="5" fontId="13" numFmtId="0" xfId="0" applyAlignment="1" applyBorder="1" applyFont="1">
      <alignment horizontal="center"/>
    </xf>
    <xf borderId="4" fillId="5" fontId="13" numFmtId="49" xfId="0" applyAlignment="1" applyBorder="1" applyFont="1" applyNumberFormat="1">
      <alignment horizontal="center"/>
    </xf>
    <xf borderId="4" fillId="5" fontId="13" numFmtId="0" xfId="0" applyAlignment="1" applyBorder="1" applyFont="1">
      <alignment horizontal="center"/>
    </xf>
    <xf borderId="4" fillId="5" fontId="13" numFmtId="4" xfId="0" applyAlignment="1" applyBorder="1" applyFont="1" applyNumberFormat="1">
      <alignment horizontal="center"/>
    </xf>
    <xf borderId="5" fillId="5" fontId="12" numFmtId="166" xfId="0" applyAlignment="1" applyBorder="1" applyFont="1" applyNumberFormat="1">
      <alignment horizontal="center"/>
    </xf>
    <xf borderId="1" fillId="5" fontId="13" numFmtId="167" xfId="0" applyAlignment="1" applyBorder="1" applyFont="1" applyNumberFormat="1">
      <alignment horizontal="center" vertical="bottom"/>
    </xf>
    <xf borderId="1" fillId="5" fontId="17" numFmtId="168" xfId="0" applyAlignment="1" applyBorder="1" applyFont="1" applyNumberFormat="1">
      <alignment horizontal="center"/>
    </xf>
    <xf borderId="1" fillId="5" fontId="13" numFmtId="168" xfId="0" applyAlignment="1" applyBorder="1" applyFont="1" applyNumberFormat="1">
      <alignment horizontal="center" vertical="bottom"/>
    </xf>
    <xf borderId="5" fillId="5" fontId="13" numFmtId="165" xfId="0" applyAlignment="1" applyBorder="1" applyFont="1" applyNumberFormat="1">
      <alignment horizontal="center"/>
    </xf>
    <xf borderId="5" fillId="5" fontId="13" numFmtId="168" xfId="0" applyAlignment="1" applyBorder="1" applyFont="1" applyNumberFormat="1">
      <alignment horizontal="center"/>
    </xf>
    <xf borderId="11" fillId="5" fontId="13" numFmtId="165" xfId="0" applyAlignment="1" applyBorder="1" applyFont="1" applyNumberFormat="1">
      <alignment horizontal="center"/>
    </xf>
    <xf borderId="0" fillId="5" fontId="13" numFmtId="0" xfId="0" applyAlignment="1" applyFont="1">
      <alignment horizontal="center"/>
    </xf>
    <xf borderId="5" fillId="6" fontId="12" numFmtId="165" xfId="0" applyAlignment="1" applyBorder="1" applyFont="1" applyNumberFormat="1">
      <alignment horizontal="center" vertical="center"/>
    </xf>
    <xf borderId="0" fillId="6" fontId="13" numFmtId="0" xfId="0" applyAlignment="1" applyFont="1">
      <alignment horizontal="center" readingOrder="0"/>
    </xf>
    <xf borderId="4" fillId="6" fontId="12" numFmtId="4" xfId="0" applyAlignment="1" applyBorder="1" applyFont="1" applyNumberFormat="1">
      <alignment horizontal="center" vertical="center"/>
    </xf>
    <xf borderId="1" fillId="6" fontId="13" numFmtId="168" xfId="0" applyAlignment="1" applyBorder="1" applyFont="1" applyNumberFormat="1">
      <alignment horizontal="center"/>
    </xf>
    <xf borderId="6" fillId="6" fontId="12" numFmtId="165" xfId="0" applyAlignment="1" applyBorder="1" applyFont="1" applyNumberFormat="1">
      <alignment horizontal="center" vertical="center"/>
    </xf>
    <xf borderId="4" fillId="6" fontId="12" numFmtId="10" xfId="0" applyAlignment="1" applyBorder="1" applyFont="1" applyNumberFormat="1">
      <alignment horizontal="center" vertical="center"/>
    </xf>
    <xf borderId="5" fillId="6" fontId="12" numFmtId="10" xfId="0" applyAlignment="1" applyBorder="1" applyFont="1" applyNumberFormat="1">
      <alignment horizontal="center" vertical="center"/>
    </xf>
    <xf borderId="5" fillId="6" fontId="12" numFmtId="14" xfId="0" applyAlignment="1" applyBorder="1" applyFont="1" applyNumberFormat="1">
      <alignment horizontal="center" vertical="center"/>
    </xf>
    <xf borderId="0" fillId="0" fontId="18" numFmtId="168" xfId="0" applyFont="1" applyNumberFormat="1"/>
    <xf borderId="0" fillId="0" fontId="12" numFmtId="0" xfId="0" applyAlignment="1" applyFont="1">
      <alignment horizontal="center" vertical="center"/>
    </xf>
    <xf borderId="0" fillId="3" fontId="19" numFmtId="0" xfId="0" applyAlignment="1" applyFont="1">
      <alignment readingOrder="0"/>
    </xf>
    <xf borderId="1" fillId="3" fontId="7" numFmtId="0" xfId="0" applyAlignment="1" applyBorder="1" applyFont="1">
      <alignment horizontal="center"/>
    </xf>
    <xf borderId="1" fillId="3" fontId="3" numFmtId="0" xfId="0" applyBorder="1" applyFont="1"/>
    <xf borderId="1" fillId="3" fontId="4" numFmtId="0" xfId="0" applyBorder="1" applyFont="1"/>
    <xf borderId="1" fillId="3" fontId="5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1" fillId="3" fontId="6" numFmtId="0" xfId="0" applyAlignment="1" applyBorder="1" applyFont="1">
      <alignment horizontal="center"/>
    </xf>
    <xf borderId="1" fillId="3" fontId="8" numFmtId="0" xfId="0" applyBorder="1" applyFont="1"/>
    <xf borderId="3" fillId="7" fontId="12" numFmtId="0" xfId="0" applyAlignment="1" applyBorder="1" applyFill="1" applyFont="1">
      <alignment horizontal="center" vertical="center"/>
    </xf>
    <xf borderId="4" fillId="7" fontId="12" numFmtId="49" xfId="0" applyAlignment="1" applyBorder="1" applyFont="1" applyNumberFormat="1">
      <alignment horizontal="center" vertical="center"/>
    </xf>
    <xf borderId="5" fillId="7" fontId="12" numFmtId="0" xfId="0" applyAlignment="1" applyBorder="1" applyFont="1">
      <alignment horizontal="center" vertical="center"/>
    </xf>
    <xf borderId="4" fillId="7" fontId="11" numFmtId="4" xfId="0" applyAlignment="1" applyBorder="1" applyFont="1" applyNumberFormat="1">
      <alignment horizontal="center" readingOrder="0" vertical="center"/>
    </xf>
    <xf borderId="5" fillId="7" fontId="12" numFmtId="166" xfId="0" applyAlignment="1" applyBorder="1" applyFont="1" applyNumberFormat="1">
      <alignment horizontal="center" vertical="center"/>
    </xf>
    <xf borderId="5" fillId="7" fontId="11" numFmtId="166" xfId="0" applyAlignment="1" applyBorder="1" applyFont="1" applyNumberFormat="1">
      <alignment horizontal="center" readingOrder="0" vertical="center"/>
    </xf>
    <xf borderId="5" fillId="7" fontId="11" numFmtId="167" xfId="0" applyAlignment="1" applyBorder="1" applyFont="1" applyNumberFormat="1">
      <alignment horizontal="center" vertical="center"/>
    </xf>
    <xf borderId="1" fillId="7" fontId="13" numFmtId="167" xfId="0" applyAlignment="1" applyBorder="1" applyFont="1" applyNumberFormat="1">
      <alignment horizontal="center"/>
    </xf>
    <xf borderId="1" fillId="7" fontId="11" numFmtId="168" xfId="0" applyAlignment="1" applyBorder="1" applyFont="1" applyNumberFormat="1">
      <alignment horizontal="center" vertical="center"/>
    </xf>
    <xf borderId="1" fillId="7" fontId="13" numFmtId="168" xfId="0" applyAlignment="1" applyBorder="1" applyFont="1" applyNumberFormat="1">
      <alignment horizontal="center" readingOrder="0"/>
    </xf>
    <xf borderId="6" fillId="7" fontId="11" numFmtId="4" xfId="0" applyAlignment="1" applyBorder="1" applyFont="1" applyNumberFormat="1">
      <alignment horizontal="center" vertical="center"/>
    </xf>
    <xf borderId="5" fillId="7" fontId="11" numFmtId="165" xfId="0" applyAlignment="1" applyBorder="1" applyFont="1" applyNumberFormat="1">
      <alignment horizontal="center" vertical="center"/>
    </xf>
    <xf borderId="4" fillId="7" fontId="12" numFmtId="10" xfId="0" applyAlignment="1" applyBorder="1" applyFont="1" applyNumberFormat="1">
      <alignment horizontal="center" readingOrder="0" vertical="center"/>
    </xf>
    <xf borderId="5" fillId="7" fontId="11" numFmtId="168" xfId="0" applyAlignment="1" applyBorder="1" applyFont="1" applyNumberFormat="1">
      <alignment horizontal="center" vertical="center"/>
    </xf>
    <xf borderId="4" fillId="7" fontId="12" numFmtId="165" xfId="0" applyAlignment="1" applyBorder="1" applyFont="1" applyNumberFormat="1">
      <alignment horizontal="center" vertical="center"/>
    </xf>
    <xf borderId="5" fillId="7" fontId="11" numFmtId="165" xfId="0" applyAlignment="1" applyBorder="1" applyFont="1" applyNumberFormat="1">
      <alignment horizontal="center" readingOrder="0" vertical="center"/>
    </xf>
    <xf borderId="5" fillId="7" fontId="11" numFmtId="9" xfId="0" applyAlignment="1" applyBorder="1" applyFont="1" applyNumberFormat="1">
      <alignment horizontal="center" vertical="center"/>
    </xf>
    <xf borderId="5" fillId="7" fontId="13" numFmtId="0" xfId="0" applyAlignment="1" applyBorder="1" applyFont="1">
      <alignment horizontal="center"/>
    </xf>
    <xf borderId="5" fillId="7" fontId="11" numFmtId="169" xfId="0" applyAlignment="1" applyBorder="1" applyFont="1" applyNumberFormat="1">
      <alignment horizontal="center" readingOrder="0" vertical="center"/>
    </xf>
    <xf borderId="3" fillId="7" fontId="11" numFmtId="0" xfId="0" applyAlignment="1" applyBorder="1" applyFont="1">
      <alignment horizontal="center" vertical="center"/>
    </xf>
    <xf borderId="4" fillId="7" fontId="11" numFmtId="49" xfId="0" applyAlignment="1" applyBorder="1" applyFont="1" applyNumberFormat="1">
      <alignment horizontal="center" vertical="center"/>
    </xf>
    <xf borderId="5" fillId="7" fontId="11" numFmtId="0" xfId="0" applyAlignment="1" applyBorder="1" applyFont="1">
      <alignment horizontal="center" vertical="center"/>
    </xf>
    <xf borderId="1" fillId="7" fontId="11" numFmtId="167" xfId="0" applyAlignment="1" applyBorder="1" applyFont="1" applyNumberFormat="1">
      <alignment horizontal="center" readingOrder="0"/>
    </xf>
    <xf borderId="1" fillId="7" fontId="11" numFmtId="168" xfId="0" applyAlignment="1" applyBorder="1" applyFont="1" applyNumberFormat="1">
      <alignment horizontal="center" readingOrder="0"/>
    </xf>
    <xf borderId="4" fillId="7" fontId="11" numFmtId="10" xfId="0" applyAlignment="1" applyBorder="1" applyFont="1" applyNumberFormat="1">
      <alignment horizontal="center" readingOrder="0" vertical="center"/>
    </xf>
    <xf borderId="4" fillId="7" fontId="11" numFmtId="165" xfId="0" applyAlignment="1" applyBorder="1" applyFont="1" applyNumberFormat="1">
      <alignment horizontal="center" vertical="center"/>
    </xf>
    <xf borderId="3" fillId="7" fontId="12" numFmtId="0" xfId="0" applyAlignment="1" applyBorder="1" applyFont="1">
      <alignment horizontal="center" readingOrder="0" vertical="center"/>
    </xf>
    <xf borderId="4" fillId="7" fontId="12" numFmtId="49" xfId="0" applyAlignment="1" applyBorder="1" applyFont="1" applyNumberFormat="1">
      <alignment horizontal="center" readingOrder="0" vertical="center"/>
    </xf>
    <xf borderId="4" fillId="7" fontId="12" numFmtId="0" xfId="0" applyAlignment="1" applyBorder="1" applyFont="1">
      <alignment horizontal="center" readingOrder="0" vertical="center"/>
    </xf>
    <xf borderId="4" fillId="7" fontId="12" numFmtId="4" xfId="0" applyAlignment="1" applyBorder="1" applyFont="1" applyNumberFormat="1">
      <alignment horizontal="center" readingOrder="0" vertical="center"/>
    </xf>
    <xf borderId="1" fillId="7" fontId="13" numFmtId="167" xfId="0" applyAlignment="1" applyBorder="1" applyFont="1" applyNumberFormat="1">
      <alignment horizontal="center" readingOrder="0"/>
    </xf>
    <xf borderId="6" fillId="7" fontId="11" numFmtId="4" xfId="0" applyAlignment="1" applyBorder="1" applyFont="1" applyNumberFormat="1">
      <alignment horizontal="center" readingOrder="0" vertical="center"/>
    </xf>
    <xf borderId="5" fillId="7" fontId="12" numFmtId="0" xfId="0" applyAlignment="1" applyBorder="1" applyFont="1">
      <alignment horizontal="center" readingOrder="0" vertical="center"/>
    </xf>
    <xf borderId="0" fillId="7" fontId="13" numFmtId="0" xfId="0" applyAlignment="1" applyFont="1">
      <alignment horizontal="center" readingOrder="0"/>
    </xf>
    <xf borderId="7" fillId="5" fontId="11" numFmtId="168" xfId="0" applyAlignment="1" applyBorder="1" applyFont="1" applyNumberFormat="1">
      <alignment horizontal="center"/>
    </xf>
    <xf borderId="4" fillId="7" fontId="11" numFmtId="4" xfId="0" applyAlignment="1" applyBorder="1" applyFont="1" applyNumberFormat="1">
      <alignment horizontal="center" vertical="center"/>
    </xf>
    <xf borderId="1" fillId="7" fontId="11" numFmtId="167" xfId="0" applyAlignment="1" applyBorder="1" applyFont="1" applyNumberFormat="1">
      <alignment horizontal="center"/>
    </xf>
    <xf borderId="7" fillId="7" fontId="11" numFmtId="0" xfId="0" applyAlignment="1" applyBorder="1" applyFont="1">
      <alignment horizontal="center" vertical="center"/>
    </xf>
    <xf borderId="7" fillId="7" fontId="11" numFmtId="49" xfId="0" applyAlignment="1" applyBorder="1" applyFont="1" applyNumberFormat="1">
      <alignment horizontal="center" vertical="center"/>
    </xf>
    <xf borderId="7" fillId="7" fontId="11" numFmtId="4" xfId="0" applyAlignment="1" applyBorder="1" applyFont="1" applyNumberFormat="1">
      <alignment horizontal="center" vertical="center"/>
    </xf>
    <xf borderId="7" fillId="7" fontId="11" numFmtId="168" xfId="0" applyAlignment="1" applyBorder="1" applyFont="1" applyNumberFormat="1">
      <alignment horizontal="center" readingOrder="0"/>
    </xf>
    <xf borderId="9" fillId="7" fontId="11" numFmtId="4" xfId="0" applyAlignment="1" applyBorder="1" applyFont="1" applyNumberFormat="1">
      <alignment horizontal="center" readingOrder="0" vertical="center"/>
    </xf>
    <xf borderId="7" fillId="7" fontId="11" numFmtId="10" xfId="0" applyAlignment="1" applyBorder="1" applyFont="1" applyNumberFormat="1">
      <alignment horizontal="center" readingOrder="0" vertical="center"/>
    </xf>
    <xf borderId="8" fillId="7" fontId="11" numFmtId="165" xfId="0" applyAlignment="1" applyBorder="1" applyFont="1" applyNumberFormat="1">
      <alignment horizontal="center" vertical="center"/>
    </xf>
    <xf borderId="7" fillId="7" fontId="11" numFmtId="165" xfId="0" applyAlignment="1" applyBorder="1" applyFont="1" applyNumberFormat="1">
      <alignment horizontal="center" vertical="center"/>
    </xf>
    <xf borderId="8" fillId="7" fontId="11" numFmtId="0" xfId="0" applyAlignment="1" applyBorder="1" applyFont="1">
      <alignment horizontal="center" vertical="center"/>
    </xf>
    <xf borderId="7" fillId="5" fontId="11" numFmtId="168" xfId="0" applyAlignment="1" applyBorder="1" applyFont="1" applyNumberFormat="1">
      <alignment horizontal="center" readingOrder="0" vertical="center"/>
    </xf>
    <xf borderId="5" fillId="7" fontId="13" numFmtId="0" xfId="0" applyAlignment="1" applyBorder="1" applyFont="1">
      <alignment horizontal="center" readingOrder="0"/>
    </xf>
    <xf borderId="4" fillId="7" fontId="11" numFmtId="0" xfId="0" applyAlignment="1" applyBorder="1" applyFont="1">
      <alignment horizontal="center" vertical="center"/>
    </xf>
    <xf borderId="7" fillId="5" fontId="11" numFmtId="4" xfId="0" applyAlignment="1" applyBorder="1" applyFont="1" applyNumberFormat="1">
      <alignment horizontal="center" vertical="center"/>
    </xf>
    <xf borderId="4" fillId="5" fontId="11" numFmtId="166" xfId="0" applyAlignment="1" applyBorder="1" applyFont="1" applyNumberFormat="1">
      <alignment horizontal="center"/>
    </xf>
    <xf borderId="7" fillId="5" fontId="11" numFmtId="49" xfId="0" applyAlignment="1" applyBorder="1" applyFont="1" applyNumberFormat="1">
      <alignment horizontal="center" vertical="center"/>
    </xf>
    <xf borderId="9" fillId="5" fontId="11" numFmtId="4" xfId="0" applyAlignment="1" applyBorder="1" applyFont="1" applyNumberFormat="1">
      <alignment horizontal="center" readingOrder="0" vertical="center"/>
    </xf>
    <xf borderId="9" fillId="7" fontId="11" numFmtId="4" xfId="0" applyAlignment="1" applyBorder="1" applyFont="1" applyNumberFormat="1">
      <alignment horizontal="center" vertical="center"/>
    </xf>
    <xf borderId="7" fillId="7" fontId="11" numFmtId="10" xfId="0" applyAlignment="1" applyBorder="1" applyFont="1" applyNumberFormat="1">
      <alignment horizontal="center" vertical="center"/>
    </xf>
    <xf borderId="8" fillId="7" fontId="11" numFmtId="168" xfId="0" applyAlignment="1" applyBorder="1" applyFont="1" applyNumberFormat="1">
      <alignment horizontal="center" vertical="center"/>
    </xf>
    <xf borderId="10" fillId="7" fontId="11" numFmtId="4" xfId="0" applyAlignment="1" applyBorder="1" applyFont="1" applyNumberFormat="1">
      <alignment horizontal="center" readingOrder="0" vertical="center"/>
    </xf>
    <xf borderId="4" fillId="7" fontId="11" numFmtId="165" xfId="0" applyAlignment="1" applyBorder="1" applyFont="1" applyNumberFormat="1">
      <alignment horizontal="center"/>
    </xf>
    <xf borderId="5" fillId="7" fontId="11" numFmtId="0" xfId="0" applyAlignment="1" applyBorder="1" applyFont="1">
      <alignment horizontal="center"/>
    </xf>
    <xf borderId="4" fillId="7" fontId="11" numFmtId="10" xfId="0" applyAlignment="1" applyBorder="1" applyFont="1" applyNumberFormat="1">
      <alignment horizontal="center" vertical="center"/>
    </xf>
    <xf borderId="5" fillId="7" fontId="11" numFmtId="0" xfId="0" applyAlignment="1" applyBorder="1" applyFont="1">
      <alignment horizontal="center" readingOrder="0" vertical="center"/>
    </xf>
    <xf borderId="5" fillId="7" fontId="14" numFmtId="0" xfId="0" applyAlignment="1" applyBorder="1" applyFont="1">
      <alignment horizontal="center" readingOrder="0" vertical="center"/>
    </xf>
    <xf borderId="3" fillId="7" fontId="11" numFmtId="0" xfId="0" applyAlignment="1" applyBorder="1" applyFont="1">
      <alignment horizontal="center"/>
    </xf>
    <xf borderId="4" fillId="7" fontId="11" numFmtId="49" xfId="0" applyAlignment="1" applyBorder="1" applyFont="1" applyNumberFormat="1">
      <alignment horizontal="center"/>
    </xf>
    <xf borderId="4" fillId="7" fontId="11" numFmtId="0" xfId="0" applyAlignment="1" applyBorder="1" applyFont="1">
      <alignment horizontal="center"/>
    </xf>
    <xf borderId="4" fillId="7" fontId="11" numFmtId="4" xfId="0" applyAlignment="1" applyBorder="1" applyFont="1" applyNumberFormat="1">
      <alignment horizontal="center"/>
    </xf>
    <xf borderId="6" fillId="7" fontId="11" numFmtId="4" xfId="0" applyAlignment="1" applyBorder="1" applyFont="1" applyNumberFormat="1">
      <alignment horizontal="center"/>
    </xf>
    <xf borderId="4" fillId="7" fontId="11" numFmtId="10" xfId="0" applyAlignment="1" applyBorder="1" applyFont="1" applyNumberFormat="1">
      <alignment horizontal="center" readingOrder="0"/>
    </xf>
    <xf borderId="5" fillId="7" fontId="11" numFmtId="165" xfId="0" applyAlignment="1" applyBorder="1" applyFont="1" applyNumberFormat="1">
      <alignment horizontal="center"/>
    </xf>
    <xf borderId="5" fillId="7" fontId="13" numFmtId="166" xfId="0" applyAlignment="1" applyBorder="1" applyFont="1" applyNumberFormat="1">
      <alignment horizontal="center" readingOrder="0"/>
    </xf>
    <xf borderId="1" fillId="7" fontId="11" numFmtId="168" xfId="0" applyAlignment="1" applyBorder="1" applyFont="1" applyNumberFormat="1">
      <alignment horizontal="center"/>
    </xf>
    <xf borderId="6" fillId="7" fontId="13" numFmtId="4" xfId="0" applyAlignment="1" applyBorder="1" applyFont="1" applyNumberFormat="1">
      <alignment horizontal="center"/>
    </xf>
    <xf borderId="1" fillId="7" fontId="11" numFmtId="165" xfId="0" applyAlignment="1" applyBorder="1" applyFont="1" applyNumberFormat="1">
      <alignment horizontal="center" vertical="center"/>
    </xf>
    <xf borderId="7" fillId="5" fontId="12" numFmtId="4" xfId="0" applyAlignment="1" applyBorder="1" applyFont="1" applyNumberFormat="1">
      <alignment horizontal="center" readingOrder="0" vertical="center"/>
    </xf>
    <xf borderId="3" fillId="7" fontId="13" numFmtId="0" xfId="0" applyAlignment="1" applyBorder="1" applyFont="1">
      <alignment horizontal="center"/>
    </xf>
    <xf borderId="4" fillId="7" fontId="13" numFmtId="49" xfId="0" applyAlignment="1" applyBorder="1" applyFont="1" applyNumberFormat="1">
      <alignment horizontal="center"/>
    </xf>
    <xf borderId="4" fillId="7" fontId="13" numFmtId="0" xfId="0" applyAlignment="1" applyBorder="1" applyFont="1">
      <alignment horizontal="center"/>
    </xf>
    <xf borderId="4" fillId="7" fontId="13" numFmtId="4" xfId="0" applyAlignment="1" applyBorder="1" applyFont="1" applyNumberFormat="1">
      <alignment horizontal="center"/>
    </xf>
    <xf borderId="5" fillId="7" fontId="12" numFmtId="166" xfId="0" applyAlignment="1" applyBorder="1" applyFont="1" applyNumberFormat="1">
      <alignment horizontal="center"/>
    </xf>
    <xf borderId="1" fillId="7" fontId="13" numFmtId="167" xfId="0" applyAlignment="1" applyBorder="1" applyFont="1" applyNumberFormat="1">
      <alignment horizontal="center" vertical="bottom"/>
    </xf>
    <xf borderId="1" fillId="7" fontId="17" numFmtId="168" xfId="0" applyAlignment="1" applyBorder="1" applyFont="1" applyNumberFormat="1">
      <alignment horizontal="center"/>
    </xf>
    <xf borderId="1" fillId="7" fontId="13" numFmtId="168" xfId="0" applyAlignment="1" applyBorder="1" applyFont="1" applyNumberFormat="1">
      <alignment horizontal="center" vertical="bottom"/>
    </xf>
    <xf borderId="5" fillId="7" fontId="13" numFmtId="165" xfId="0" applyAlignment="1" applyBorder="1" applyFont="1" applyNumberFormat="1">
      <alignment horizontal="center"/>
    </xf>
    <xf borderId="5" fillId="7" fontId="13" numFmtId="168" xfId="0" applyAlignment="1" applyBorder="1" applyFont="1" applyNumberFormat="1">
      <alignment horizontal="center"/>
    </xf>
    <xf borderId="1" fillId="7" fontId="13" numFmtId="165" xfId="0" applyAlignment="1" applyBorder="1" applyFont="1" applyNumberFormat="1">
      <alignment horizontal="center"/>
    </xf>
    <xf borderId="6" fillId="7" fontId="11" numFmtId="165" xfId="0" applyAlignment="1" applyBorder="1" applyFont="1" applyNumberFormat="1">
      <alignment horizontal="center"/>
    </xf>
    <xf borderId="5" fillId="7" fontId="16" numFmtId="0" xfId="0" applyAlignment="1" applyBorder="1" applyFont="1">
      <alignment horizontal="center"/>
    </xf>
    <xf borderId="6" fillId="7" fontId="11" numFmtId="165" xfId="0" applyAlignment="1" applyBorder="1" applyFont="1" applyNumberFormat="1">
      <alignment horizontal="center" vertical="center"/>
    </xf>
    <xf borderId="0" fillId="7" fontId="11" numFmtId="165" xfId="0" applyAlignment="1" applyFont="1" applyNumberFormat="1">
      <alignment horizontal="center" vertical="center"/>
    </xf>
    <xf borderId="0" fillId="7" fontId="11" numFmtId="0" xfId="0" applyAlignment="1" applyFont="1">
      <alignment horizontal="center" vertical="center"/>
    </xf>
    <xf borderId="0" fillId="5" fontId="11" numFmtId="0" xfId="0" applyAlignment="1" applyFont="1">
      <alignment horizontal="center" readingOrder="0" vertical="center"/>
    </xf>
    <xf borderId="4" fillId="7" fontId="12" numFmtId="0" xfId="0" applyAlignment="1" applyBorder="1" applyFont="1">
      <alignment horizontal="center" vertical="center"/>
    </xf>
    <xf borderId="4" fillId="7" fontId="12" numFmtId="4" xfId="0" applyAlignment="1" applyBorder="1" applyFont="1" applyNumberFormat="1">
      <alignment horizontal="center" vertical="center"/>
    </xf>
    <xf borderId="0" fillId="7" fontId="12" numFmtId="165" xfId="0" applyAlignment="1" applyFont="1" applyNumberFormat="1">
      <alignment horizontal="center" vertical="center"/>
    </xf>
    <xf borderId="0" fillId="7" fontId="13" numFmtId="0" xfId="0" applyAlignment="1" applyFont="1">
      <alignment horizontal="center"/>
    </xf>
    <xf borderId="11" fillId="7" fontId="11" numFmtId="165" xfId="0" applyAlignment="1" applyBorder="1" applyFont="1" applyNumberFormat="1">
      <alignment horizontal="center" vertical="center"/>
    </xf>
    <xf borderId="11" fillId="7" fontId="12" numFmtId="165" xfId="0" applyAlignment="1" applyBorder="1" applyFont="1" applyNumberFormat="1">
      <alignment horizontal="center" vertical="center"/>
    </xf>
    <xf borderId="11" fillId="5" fontId="12" numFmtId="165" xfId="0" applyAlignment="1" applyBorder="1" applyFont="1" applyNumberFormat="1">
      <alignment horizontal="center" vertical="center"/>
    </xf>
    <xf borderId="0" fillId="5" fontId="13" numFmtId="0" xfId="0" applyAlignment="1" applyFont="1">
      <alignment horizontal="center" readingOrder="0"/>
    </xf>
    <xf borderId="4" fillId="7" fontId="11" numFmtId="10" xfId="0" applyAlignment="1" applyBorder="1" applyFont="1" applyNumberFormat="1">
      <alignment horizontal="center"/>
    </xf>
    <xf borderId="5" fillId="7" fontId="11" numFmtId="168" xfId="0" applyAlignment="1" applyBorder="1" applyFont="1" applyNumberFormat="1">
      <alignment horizontal="center"/>
    </xf>
    <xf borderId="11" fillId="7" fontId="11" numFmtId="165" xfId="0" applyAlignment="1" applyBorder="1" applyFont="1" applyNumberFormat="1">
      <alignment horizontal="center"/>
    </xf>
    <xf borderId="0" fillId="7" fontId="11" numFmtId="0" xfId="0" applyAlignment="1" applyFont="1">
      <alignment horizontal="center"/>
    </xf>
    <xf borderId="4" fillId="5" fontId="11" numFmtId="49" xfId="0" applyAlignment="1" applyBorder="1" applyFont="1" applyNumberFormat="1">
      <alignment horizontal="center" readingOrder="0" vertical="center"/>
    </xf>
    <xf borderId="11" fillId="7" fontId="9" numFmtId="165" xfId="0" applyAlignment="1" applyBorder="1" applyFont="1" applyNumberFormat="1">
      <alignment horizontal="center"/>
    </xf>
    <xf borderId="5" fillId="7" fontId="12" numFmtId="167" xfId="0" applyAlignment="1" applyBorder="1" applyFont="1" applyNumberFormat="1">
      <alignment horizontal="center" vertical="center"/>
    </xf>
    <xf borderId="1" fillId="7" fontId="13" numFmtId="168" xfId="0" applyAlignment="1" applyBorder="1" applyFont="1" applyNumberFormat="1">
      <alignment horizontal="center"/>
    </xf>
    <xf borderId="6" fillId="7" fontId="12" numFmtId="165" xfId="0" applyAlignment="1" applyBorder="1" applyFont="1" applyNumberFormat="1">
      <alignment horizontal="center" vertical="center"/>
    </xf>
    <xf borderId="5" fillId="7" fontId="12" numFmtId="165" xfId="0" applyAlignment="1" applyBorder="1" applyFont="1" applyNumberFormat="1">
      <alignment horizontal="center" vertical="center"/>
    </xf>
    <xf borderId="4" fillId="7" fontId="12" numFmtId="10" xfId="0" applyAlignment="1" applyBorder="1" applyFont="1" applyNumberFormat="1">
      <alignment horizontal="center" vertical="center"/>
    </xf>
    <xf borderId="5" fillId="7" fontId="12" numFmtId="10" xfId="0" applyAlignment="1" applyBorder="1" applyFont="1" applyNumberFormat="1">
      <alignment horizontal="center" vertical="center"/>
    </xf>
    <xf borderId="5" fillId="7" fontId="12" numFmtId="14" xfId="0" applyAlignment="1" applyBorder="1" applyFont="1" applyNumberFormat="1">
      <alignment horizontal="center" vertical="center"/>
    </xf>
    <xf borderId="0" fillId="8" fontId="20" numFmtId="0" xfId="0" applyAlignment="1" applyFill="1" applyFont="1">
      <alignment horizontal="center" readingOrder="0"/>
    </xf>
    <xf borderId="0" fillId="9" fontId="21" numFmtId="0" xfId="0" applyAlignment="1" applyFill="1" applyFont="1">
      <alignment horizontal="center" readingOrder="0"/>
    </xf>
    <xf borderId="0" fillId="10" fontId="20" numFmtId="0" xfId="0" applyAlignment="1" applyFill="1" applyFont="1">
      <alignment horizontal="center"/>
    </xf>
    <xf borderId="0" fillId="9" fontId="20" numFmtId="0" xfId="0" applyAlignment="1" applyFont="1">
      <alignment horizontal="center" readingOrder="0"/>
    </xf>
    <xf borderId="0" fillId="11" fontId="22" numFmtId="0" xfId="0" applyAlignment="1" applyFill="1" applyFont="1">
      <alignment horizontal="center"/>
    </xf>
    <xf borderId="0" fillId="12" fontId="22" numFmtId="0" xfId="0" applyAlignment="1" applyFill="1" applyFont="1">
      <alignment horizontal="center"/>
    </xf>
    <xf borderId="0" fillId="8" fontId="20" numFmtId="0" xfId="0" applyAlignment="1" applyFont="1">
      <alignment horizontal="center"/>
    </xf>
    <xf borderId="0" fillId="9" fontId="20" numFmtId="0" xfId="0" applyAlignment="1" applyFont="1">
      <alignment horizontal="center"/>
    </xf>
    <xf borderId="0" fillId="13" fontId="23" numFmtId="0" xfId="0" applyAlignment="1" applyFill="1" applyFont="1">
      <alignment horizontal="center" readingOrder="0"/>
    </xf>
    <xf borderId="1" fillId="8" fontId="20" numFmtId="0" xfId="0" applyAlignment="1" applyBorder="1" applyFont="1">
      <alignment horizontal="center"/>
    </xf>
    <xf borderId="1" fillId="9" fontId="20" numFmtId="0" xfId="0" applyAlignment="1" applyBorder="1" applyFont="1">
      <alignment horizontal="center"/>
    </xf>
    <xf borderId="1" fillId="10" fontId="20" numFmtId="0" xfId="0" applyAlignment="1" applyBorder="1" applyFont="1">
      <alignment horizontal="center"/>
    </xf>
    <xf borderId="1" fillId="9" fontId="20" numFmtId="0" xfId="0" applyAlignment="1" applyBorder="1" applyFont="1">
      <alignment horizontal="center" readingOrder="0"/>
    </xf>
    <xf borderId="0" fillId="0" fontId="20" numFmtId="0" xfId="0" applyAlignment="1" applyFont="1">
      <alignment horizontal="center"/>
    </xf>
    <xf borderId="0" fillId="0" fontId="20" numFmtId="0" xfId="0" applyAlignment="1" applyFont="1">
      <alignment horizontal="center" readingOrder="0"/>
    </xf>
    <xf borderId="0" fillId="0" fontId="20" numFmtId="170" xfId="0" applyAlignment="1" applyFont="1" applyNumberFormat="1">
      <alignment horizontal="center"/>
    </xf>
    <xf borderId="0" fillId="0" fontId="20" numFmtId="171" xfId="0" applyAlignment="1" applyFont="1" applyNumberFormat="1">
      <alignment horizontal="center"/>
    </xf>
    <xf borderId="0" fillId="0" fontId="22" numFmtId="172" xfId="0" applyAlignment="1" applyFont="1" applyNumberFormat="1">
      <alignment horizontal="center"/>
    </xf>
    <xf borderId="0" fillId="0" fontId="22" numFmtId="168" xfId="0" applyAlignment="1" applyFont="1" applyNumberFormat="1">
      <alignment horizontal="center"/>
    </xf>
    <xf borderId="0" fillId="0" fontId="20" numFmtId="173" xfId="0" applyAlignment="1" applyFont="1" applyNumberFormat="1">
      <alignment horizontal="center"/>
    </xf>
    <xf borderId="0" fillId="0" fontId="22" numFmtId="174" xfId="0" applyAlignment="1" applyFont="1" applyNumberFormat="1">
      <alignment horizontal="center"/>
    </xf>
    <xf borderId="0" fillId="0" fontId="24" numFmtId="9" xfId="0" applyAlignment="1" applyFont="1" applyNumberFormat="1">
      <alignment horizontal="center" readingOrder="0"/>
    </xf>
    <xf borderId="0" fillId="0" fontId="24" numFmtId="9" xfId="0" applyAlignment="1" applyFont="1" applyNumberFormat="1">
      <alignment horizontal="center"/>
    </xf>
    <xf borderId="0" fillId="0" fontId="22" numFmtId="0" xfId="0" applyAlignment="1" applyFont="1">
      <alignment horizontal="center"/>
    </xf>
    <xf borderId="0" fillId="0" fontId="20" numFmtId="0" xfId="0" applyAlignment="1" applyFont="1">
      <alignment horizontal="center" readingOrder="0" vertical="bottom"/>
    </xf>
    <xf borderId="0" fillId="0" fontId="22" numFmtId="0" xfId="0" applyAlignment="1" applyFont="1">
      <alignment horizontal="center" readingOrder="0"/>
    </xf>
    <xf borderId="0" fillId="0" fontId="20" numFmtId="171" xfId="0" applyAlignment="1" applyFont="1" applyNumberFormat="1">
      <alignment horizontal="center" readingOrder="0"/>
    </xf>
    <xf borderId="0" fillId="0" fontId="22" numFmtId="174" xfId="0" applyAlignment="1" applyFont="1" applyNumberFormat="1">
      <alignment horizontal="center" readingOrder="0"/>
    </xf>
    <xf borderId="1" fillId="8" fontId="20" numFmtId="170" xfId="0" applyAlignment="1" applyBorder="1" applyFont="1" applyNumberFormat="1">
      <alignment horizontal="center" readingOrder="0"/>
    </xf>
    <xf borderId="1" fillId="8" fontId="20" numFmtId="170" xfId="0" applyAlignment="1" applyBorder="1" applyFont="1" applyNumberFormat="1">
      <alignment horizontal="center"/>
    </xf>
    <xf borderId="1" fillId="9" fontId="20" numFmtId="170" xfId="0" applyAlignment="1" applyBorder="1" applyFont="1" applyNumberFormat="1">
      <alignment horizontal="center" readingOrder="0"/>
    </xf>
    <xf borderId="1" fillId="9" fontId="20" numFmtId="170" xfId="0" applyAlignment="1" applyBorder="1" applyFont="1" applyNumberFormat="1">
      <alignment horizontal="center"/>
    </xf>
    <xf borderId="0" fillId="0" fontId="18" numFmtId="0" xfId="0" applyAlignment="1" applyFont="1">
      <alignment horizontal="center"/>
    </xf>
    <xf borderId="0" fillId="0" fontId="18" numFmtId="170" xfId="0" applyAlignment="1" applyFont="1" applyNumberFormat="1">
      <alignment horizontal="center"/>
    </xf>
    <xf borderId="1" fillId="10" fontId="20" numFmtId="170" xfId="0" applyAlignment="1" applyBorder="1" applyFont="1" applyNumberFormat="1">
      <alignment horizontal="center" readingOrder="0"/>
    </xf>
    <xf borderId="1" fillId="14" fontId="20" numFmtId="170" xfId="0" applyAlignment="1" applyBorder="1" applyFill="1" applyFont="1" applyNumberFormat="1">
      <alignment horizontal="center"/>
    </xf>
    <xf borderId="1" fillId="14" fontId="25" numFmtId="168" xfId="0" applyAlignment="1" applyBorder="1" applyFont="1" applyNumberFormat="1">
      <alignment horizontal="center"/>
    </xf>
    <xf borderId="0" fillId="0" fontId="18" numFmtId="170" xfId="0" applyFont="1" applyNumberFormat="1"/>
    <xf borderId="0" fillId="0" fontId="26" numFmtId="0" xfId="0" applyAlignment="1" applyFont="1">
      <alignment horizontal="center" readingOrder="0"/>
    </xf>
    <xf borderId="0" fillId="0" fontId="23" numFmtId="0" xfId="0" applyAlignment="1" applyFont="1">
      <alignment horizontal="center" readingOrder="0"/>
    </xf>
    <xf borderId="1" fillId="10" fontId="20" numFmtId="0" xfId="0" applyAlignment="1" applyBorder="1" applyFont="1">
      <alignment horizontal="center" readingOrder="0"/>
    </xf>
    <xf borderId="0" fillId="12" fontId="22" numFmtId="0" xfId="0" applyAlignment="1" applyFont="1">
      <alignment horizontal="center" readingOrder="0"/>
    </xf>
    <xf borderId="1" fillId="8" fontId="20" numFmtId="0" xfId="0" applyAlignment="1" applyBorder="1" applyFont="1">
      <alignment horizontal="center" readingOrder="0"/>
    </xf>
    <xf borderId="1" fillId="15" fontId="20" numFmtId="166" xfId="0" applyAlignment="1" applyBorder="1" applyFill="1" applyFont="1" applyNumberFormat="1">
      <alignment horizontal="center" readingOrder="0"/>
    </xf>
    <xf borderId="1" fillId="15" fontId="20" numFmtId="166" xfId="0" applyAlignment="1" applyBorder="1" applyFont="1" applyNumberFormat="1">
      <alignment horizontal="center"/>
    </xf>
    <xf borderId="1" fillId="16" fontId="20" numFmtId="166" xfId="0" applyAlignment="1" applyBorder="1" applyFill="1" applyFont="1" applyNumberFormat="1">
      <alignment horizontal="center" readingOrder="0"/>
    </xf>
    <xf borderId="1" fillId="16" fontId="20" numFmtId="166" xfId="0" applyAlignment="1" applyBorder="1" applyFont="1" applyNumberFormat="1">
      <alignment horizontal="center"/>
    </xf>
    <xf borderId="0" fillId="17" fontId="20" numFmtId="166" xfId="0" applyAlignment="1" applyFill="1" applyFont="1" applyNumberFormat="1">
      <alignment horizontal="center" readingOrder="0"/>
    </xf>
    <xf borderId="0" fillId="17" fontId="20" numFmtId="166" xfId="0" applyAlignment="1" applyFont="1" applyNumberFormat="1">
      <alignment horizontal="center"/>
    </xf>
    <xf borderId="1" fillId="10" fontId="20" numFmtId="166" xfId="0" applyAlignment="1" applyBorder="1" applyFont="1" applyNumberFormat="1">
      <alignment horizontal="center" readingOrder="0"/>
    </xf>
    <xf borderId="1" fillId="14" fontId="20" numFmtId="170" xfId="0" applyAlignment="1" applyBorder="1" applyFont="1" applyNumberFormat="1">
      <alignment horizontal="center" readingOrder="0"/>
    </xf>
    <xf borderId="1" fillId="18" fontId="27" numFmtId="0" xfId="0" applyAlignment="1" applyBorder="1" applyFill="1" applyFont="1">
      <alignment horizontal="center" vertical="center"/>
    </xf>
    <xf borderId="0" fillId="0" fontId="18" numFmtId="0" xfId="0" applyAlignment="1" applyFont="1">
      <alignment vertical="center"/>
    </xf>
    <xf borderId="0" fillId="0" fontId="28" numFmtId="0" xfId="0" applyAlignment="1" applyFont="1">
      <alignment vertical="center"/>
    </xf>
    <xf borderId="1" fillId="19" fontId="29" numFmtId="0" xfId="0" applyAlignment="1" applyBorder="1" applyFill="1" applyFont="1">
      <alignment horizontal="center" vertical="center"/>
    </xf>
    <xf borderId="0" fillId="0" fontId="30" numFmtId="0" xfId="0" applyAlignment="1" applyFont="1">
      <alignment horizontal="left" vertical="center"/>
    </xf>
    <xf borderId="0" fillId="0" fontId="31" numFmtId="0" xfId="0" applyAlignment="1" applyFont="1">
      <alignment vertical="center"/>
    </xf>
    <xf borderId="1" fillId="20" fontId="29" numFmtId="0" xfId="0" applyAlignment="1" applyBorder="1" applyFill="1" applyFont="1">
      <alignment horizontal="center" vertical="center"/>
    </xf>
    <xf borderId="0" fillId="0" fontId="32" numFmtId="0" xfId="0" applyAlignment="1" applyFont="1">
      <alignment vertical="center"/>
    </xf>
    <xf borderId="0" fillId="0" fontId="8" numFmtId="0" xfId="0" applyFont="1"/>
    <xf borderId="1" fillId="11" fontId="33" numFmtId="0" xfId="0" applyAlignment="1" applyBorder="1" applyFont="1">
      <alignment horizontal="center"/>
    </xf>
    <xf borderId="1" fillId="21" fontId="34" numFmtId="0" xfId="0" applyAlignment="1" applyBorder="1" applyFill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  <color rgb="FF38761D"/>
      </font>
      <fill>
        <patternFill patternType="none"/>
      </fill>
      <border/>
    </dxf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Renda Anual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'Renda projetiva'!$H$4:$H$9</c:f>
            </c:strRef>
          </c:cat>
          <c:val>
            <c:numRef>
              <c:f>'Renda projetiva'!$I$4:$I$9</c:f>
              <c:numCache/>
            </c:numRef>
          </c:val>
        </c:ser>
        <c:ser>
          <c:idx val="1"/>
          <c:order val="1"/>
          <c:tx>
            <c:v>Renda Mensal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'Renda projetiva'!$H$4:$H$9</c:f>
            </c:strRef>
          </c:cat>
          <c:val>
            <c:numRef>
              <c:f>'Renda projetiva'!$J$4:$J$9</c:f>
              <c:numCache/>
            </c:numRef>
          </c:val>
        </c:ser>
        <c:axId val="1472392137"/>
        <c:axId val="1165183599"/>
      </c:barChart>
      <c:catAx>
        <c:axId val="14723921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65183599"/>
      </c:catAx>
      <c:valAx>
        <c:axId val="11651835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472392137"/>
      </c:valAx>
    </c:plotArea>
    <c:legend>
      <c:legendPos val="t"/>
      <c:overlay val="0"/>
      <c:txPr>
        <a:bodyPr/>
        <a:lstStyle/>
        <a:p>
          <a:pPr lvl="0">
            <a:defRPr b="1" i="0" sz="11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Lucro anual esperado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Holding!$H$4:$H$9</c:f>
            </c:strRef>
          </c:cat>
          <c:val>
            <c:numRef>
              <c:f>Holding!$I$4:$I$9</c:f>
              <c:numCache/>
            </c:numRef>
          </c:val>
        </c:ser>
        <c:ser>
          <c:idx val="1"/>
          <c:order val="1"/>
          <c:tx>
            <c:v>Lucro médio mensal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Holding!$H$4:$H$9</c:f>
            </c:strRef>
          </c:cat>
          <c:val>
            <c:numRef>
              <c:f>Holding!$J$4:$J$9</c:f>
              <c:numCache/>
            </c:numRef>
          </c:val>
        </c:ser>
        <c:axId val="879211541"/>
        <c:axId val="674986347"/>
      </c:barChart>
      <c:catAx>
        <c:axId val="8792115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74986347"/>
      </c:catAx>
      <c:valAx>
        <c:axId val="6749863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879211541"/>
      </c:valAx>
    </c:plotArea>
    <c:legend>
      <c:legendPos val="t"/>
      <c:overlay val="0"/>
      <c:txPr>
        <a:bodyPr/>
        <a:lstStyle/>
        <a:p>
          <a:pPr lvl="0">
            <a:defRPr b="1" i="0" sz="11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333375</xdr:colOff>
      <xdr:row>9</xdr:row>
      <xdr:rowOff>9525</xdr:rowOff>
    </xdr:from>
    <xdr:ext cx="6753225" cy="39528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333375</xdr:colOff>
      <xdr:row>9</xdr:row>
      <xdr:rowOff>9525</xdr:rowOff>
    </xdr:from>
    <xdr:ext cx="6753225" cy="39528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2628900</xdr:colOff>
      <xdr:row>0</xdr:row>
      <xdr:rowOff>0</xdr:rowOff>
    </xdr:from>
    <xdr:ext cx="2200275" cy="400050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N6RASLQO2V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N6RASLQO2V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N6RASLQO2V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Eg82bZ3PowM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investidor10.com.br/calculadoras/juros-compostos/" TargetMode="External"/><Relationship Id="rId3" Type="http://schemas.openxmlformats.org/officeDocument/2006/relationships/hyperlink" Target="https://investidor10.com.br/calculadoras/primeiro-milhao/" TargetMode="External"/><Relationship Id="rId4" Type="http://schemas.openxmlformats.org/officeDocument/2006/relationships/hyperlink" Target="https://youtu.be/35Y70voTfzQ?si=v0h2e42X9xQQiTKA" TargetMode="External"/><Relationship Id="rId5" Type="http://schemas.openxmlformats.org/officeDocument/2006/relationships/drawing" Target="../drawings/drawing5.xml"/><Relationship Id="rId6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18.38"/>
    <col customWidth="1" min="2" max="2" width="13.75"/>
    <col customWidth="1" min="3" max="3" width="23.38"/>
    <col customWidth="1" min="4" max="4" width="17.63"/>
    <col customWidth="1" min="5" max="6" width="25.63"/>
    <col customWidth="1" min="7" max="10" width="11.63"/>
    <col customWidth="1" min="11" max="12" width="13.63"/>
    <col customWidth="1" min="13" max="13" width="11.63"/>
    <col customWidth="1" min="14" max="14" width="14.25"/>
    <col customWidth="1" min="15" max="15" width="13.25"/>
    <col customWidth="1" min="16" max="19" width="11.63"/>
    <col customWidth="1" min="20" max="20" width="17.63"/>
    <col customWidth="1" min="21" max="21" width="11.63"/>
  </cols>
  <sheetData>
    <row r="1" ht="24.75" customHeight="1">
      <c r="A1" s="1" t="s">
        <v>0</v>
      </c>
      <c r="B1" s="2" t="s">
        <v>1</v>
      </c>
      <c r="C1" s="3"/>
      <c r="D1" s="4"/>
      <c r="E1" s="4"/>
      <c r="F1" s="5"/>
      <c r="G1" s="4"/>
      <c r="H1" s="5"/>
      <c r="I1" s="5"/>
      <c r="J1" s="5"/>
      <c r="K1" s="5"/>
      <c r="L1" s="5"/>
      <c r="M1" s="4"/>
      <c r="N1" s="6"/>
      <c r="O1" s="7"/>
      <c r="P1" s="7"/>
      <c r="Q1" s="7"/>
      <c r="R1" s="7"/>
      <c r="S1" s="8"/>
      <c r="T1" s="5"/>
      <c r="U1" s="9"/>
    </row>
    <row r="2" ht="24.75" customHeight="1">
      <c r="A2" s="10"/>
      <c r="B2" s="11"/>
      <c r="C2" s="11"/>
      <c r="D2" s="12"/>
      <c r="E2" s="12"/>
      <c r="F2" s="13"/>
      <c r="G2" s="12"/>
      <c r="H2" s="13"/>
      <c r="I2" s="13"/>
      <c r="J2" s="13"/>
      <c r="K2" s="13"/>
      <c r="L2" s="13"/>
      <c r="M2" s="12"/>
      <c r="N2" s="14"/>
      <c r="O2" s="15"/>
      <c r="P2" s="15"/>
      <c r="Q2" s="15"/>
      <c r="R2" s="15"/>
      <c r="S2" s="10"/>
      <c r="T2" s="13"/>
      <c r="U2" s="16"/>
    </row>
    <row r="3" ht="31.5" customHeight="1">
      <c r="A3" s="17" t="s">
        <v>2</v>
      </c>
      <c r="B3" s="17" t="s">
        <v>3</v>
      </c>
      <c r="C3" s="18" t="s">
        <v>4</v>
      </c>
      <c r="D3" s="19" t="s">
        <v>5</v>
      </c>
      <c r="E3" s="20" t="s">
        <v>6</v>
      </c>
      <c r="F3" s="21" t="s">
        <v>7</v>
      </c>
      <c r="G3" s="19" t="s">
        <v>8</v>
      </c>
      <c r="H3" s="19" t="s">
        <v>9</v>
      </c>
      <c r="I3" s="19" t="s">
        <v>10</v>
      </c>
      <c r="J3" s="19" t="s">
        <v>11</v>
      </c>
      <c r="K3" s="19" t="s">
        <v>12</v>
      </c>
      <c r="L3" s="19" t="s">
        <v>13</v>
      </c>
      <c r="M3" s="19" t="s">
        <v>14</v>
      </c>
      <c r="N3" s="19" t="s">
        <v>15</v>
      </c>
      <c r="O3" s="19" t="s">
        <v>16</v>
      </c>
      <c r="P3" s="19" t="s">
        <v>17</v>
      </c>
      <c r="Q3" s="19" t="s">
        <v>18</v>
      </c>
      <c r="R3" s="17" t="s">
        <v>19</v>
      </c>
      <c r="S3" s="17" t="s">
        <v>20</v>
      </c>
      <c r="T3" s="17" t="s">
        <v>21</v>
      </c>
      <c r="U3" s="17" t="s">
        <v>22</v>
      </c>
    </row>
    <row r="4" ht="15.75" customHeight="1">
      <c r="A4" s="22" t="s">
        <v>23</v>
      </c>
      <c r="B4" s="23" t="s">
        <v>24</v>
      </c>
      <c r="C4" s="24" t="s">
        <v>25</v>
      </c>
      <c r="D4" s="25">
        <v>2.211723E8</v>
      </c>
      <c r="E4" s="26">
        <f t="shared" ref="E4:E38" si="1">D4*P4</f>
        <v>2012667930</v>
      </c>
      <c r="F4" s="27">
        <v>2.15E8</v>
      </c>
      <c r="G4" s="28">
        <f t="shared" ref="G4:G93" si="2">P4/L4</f>
        <v>9.361246186</v>
      </c>
      <c r="H4" s="29">
        <v>9.4</v>
      </c>
      <c r="I4" s="30">
        <f t="shared" ref="I4:I93" si="3">(G4/H4-1)</f>
        <v>-0.004122746165</v>
      </c>
      <c r="J4" s="31">
        <v>0.33</v>
      </c>
      <c r="K4" s="32">
        <v>2.06</v>
      </c>
      <c r="L4" s="33">
        <f t="shared" ref="L4:L38" si="4">F4/D4</f>
        <v>0.9720927982</v>
      </c>
      <c r="M4" s="34">
        <v>0.7</v>
      </c>
      <c r="N4" s="33">
        <f t="shared" ref="N4:N67" si="5">M4*L4</f>
        <v>0.6804649588</v>
      </c>
      <c r="O4" s="35">
        <f t="shared" ref="O4:O93" si="6">N4/P4</f>
        <v>0.0747763691</v>
      </c>
      <c r="P4" s="36">
        <f>IFERROR(__xludf.DUMMYFUNCTION("GOOGLEFINANCE(""BVMF:RANI3"")"),9.1)</f>
        <v>9.1</v>
      </c>
      <c r="Q4" s="37">
        <v>11.0</v>
      </c>
      <c r="R4" s="38">
        <f t="shared" ref="R4:R93" si="7">1-(P4/Q4)</f>
        <v>0.1727272727</v>
      </c>
      <c r="S4" s="24" t="s">
        <v>26</v>
      </c>
      <c r="T4" s="24" t="s">
        <v>27</v>
      </c>
      <c r="U4" s="39">
        <v>46091.0</v>
      </c>
    </row>
    <row r="5" ht="15.75" customHeight="1">
      <c r="A5" s="40" t="s">
        <v>28</v>
      </c>
      <c r="B5" s="41" t="s">
        <v>29</v>
      </c>
      <c r="C5" s="42" t="s">
        <v>30</v>
      </c>
      <c r="D5" s="43">
        <f>279705823*5</f>
        <v>1398529115</v>
      </c>
      <c r="E5" s="44">
        <f t="shared" si="1"/>
        <v>13831452947</v>
      </c>
      <c r="F5" s="45">
        <v>2.55E9</v>
      </c>
      <c r="G5" s="46">
        <f t="shared" si="2"/>
        <v>5.424099195</v>
      </c>
      <c r="H5" s="47">
        <v>21.4</v>
      </c>
      <c r="I5" s="48">
        <f t="shared" si="3"/>
        <v>-0.7465374208</v>
      </c>
      <c r="J5" s="49">
        <v>0.158</v>
      </c>
      <c r="K5" s="50">
        <v>0.0</v>
      </c>
      <c r="L5" s="51">
        <f t="shared" si="4"/>
        <v>1.823344235</v>
      </c>
      <c r="M5" s="52">
        <v>0.4714</v>
      </c>
      <c r="N5" s="51">
        <f t="shared" si="5"/>
        <v>0.8595244726</v>
      </c>
      <c r="O5" s="53">
        <f t="shared" si="6"/>
        <v>0.0869084401</v>
      </c>
      <c r="P5" s="54">
        <f>IFERROR(__xludf.DUMMYFUNCTION("GOOGLEFINANCE(""BVMF:PAGS34"")"),9.89)</f>
        <v>9.89</v>
      </c>
      <c r="Q5" s="55">
        <f>6.5*L5</f>
        <v>11.85173753</v>
      </c>
      <c r="R5" s="56">
        <f t="shared" si="7"/>
        <v>0.1655232008</v>
      </c>
      <c r="S5" s="42" t="s">
        <v>31</v>
      </c>
      <c r="T5" s="57" t="s">
        <v>32</v>
      </c>
      <c r="U5" s="58">
        <v>46091.0</v>
      </c>
    </row>
    <row r="6" ht="15.75" customHeight="1">
      <c r="A6" s="22" t="s">
        <v>33</v>
      </c>
      <c r="B6" s="23" t="s">
        <v>34</v>
      </c>
      <c r="C6" s="24" t="s">
        <v>35</v>
      </c>
      <c r="D6" s="59">
        <v>5.4320457E9</v>
      </c>
      <c r="E6" s="26">
        <f t="shared" si="1"/>
        <v>26291101188</v>
      </c>
      <c r="F6" s="27">
        <v>2.5E9</v>
      </c>
      <c r="G6" s="28">
        <f t="shared" si="2"/>
        <v>10.51644048</v>
      </c>
      <c r="H6" s="29">
        <v>7.8</v>
      </c>
      <c r="I6" s="30">
        <f t="shared" si="3"/>
        <v>0.3482615994</v>
      </c>
      <c r="J6" s="31">
        <v>-0.1125</v>
      </c>
      <c r="K6" s="60">
        <v>-0.69</v>
      </c>
      <c r="L6" s="33">
        <f t="shared" si="4"/>
        <v>0.4602317687</v>
      </c>
      <c r="M6" s="34">
        <v>0.75</v>
      </c>
      <c r="N6" s="33">
        <f t="shared" si="5"/>
        <v>0.3451738265</v>
      </c>
      <c r="O6" s="35">
        <f t="shared" si="6"/>
        <v>0.0713169063</v>
      </c>
      <c r="P6" s="36">
        <f>IFERROR(__xludf.DUMMYFUNCTION("GOOGLEFINANCE(""BVMF:CMIN3"")"),4.84)</f>
        <v>4.84</v>
      </c>
      <c r="Q6" s="37">
        <f>N6/0.06</f>
        <v>5.752897108</v>
      </c>
      <c r="R6" s="38">
        <f t="shared" si="7"/>
        <v>0.158684762</v>
      </c>
      <c r="S6" s="24" t="s">
        <v>36</v>
      </c>
      <c r="T6" s="24" t="s">
        <v>37</v>
      </c>
      <c r="U6" s="39">
        <v>46091.0</v>
      </c>
    </row>
    <row r="7" ht="15.75" customHeight="1">
      <c r="A7" s="61" t="s">
        <v>38</v>
      </c>
      <c r="B7" s="62" t="s">
        <v>39</v>
      </c>
      <c r="C7" s="63" t="s">
        <v>40</v>
      </c>
      <c r="D7" s="64">
        <v>3.12632756E8</v>
      </c>
      <c r="E7" s="44">
        <f t="shared" si="1"/>
        <v>5130303526</v>
      </c>
      <c r="F7" s="45">
        <v>6.0E8</v>
      </c>
      <c r="G7" s="46">
        <f t="shared" si="2"/>
        <v>8.550505877</v>
      </c>
      <c r="H7" s="65">
        <v>9.5</v>
      </c>
      <c r="I7" s="48">
        <f t="shared" si="3"/>
        <v>-0.09994674983</v>
      </c>
      <c r="J7" s="66">
        <v>0.795</v>
      </c>
      <c r="K7" s="50">
        <v>0.9</v>
      </c>
      <c r="L7" s="51">
        <f t="shared" si="4"/>
        <v>1.919184693</v>
      </c>
      <c r="M7" s="67">
        <v>0.5</v>
      </c>
      <c r="N7" s="51">
        <f t="shared" si="5"/>
        <v>0.9595923467</v>
      </c>
      <c r="O7" s="53">
        <f t="shared" si="6"/>
        <v>0.05847607232</v>
      </c>
      <c r="P7" s="68">
        <f>IFERROR(__xludf.DUMMYFUNCTION("GOOGLEFINANCE(""BVMF:VULC3"")"),16.41)</f>
        <v>16.41</v>
      </c>
      <c r="Q7" s="55">
        <v>19.5</v>
      </c>
      <c r="R7" s="56">
        <f t="shared" si="7"/>
        <v>0.1584615385</v>
      </c>
      <c r="S7" s="69" t="s">
        <v>41</v>
      </c>
      <c r="T7" s="69" t="s">
        <v>42</v>
      </c>
      <c r="U7" s="58">
        <v>46091.0</v>
      </c>
    </row>
    <row r="8" ht="15.75" customHeight="1">
      <c r="A8" s="70" t="s">
        <v>43</v>
      </c>
      <c r="B8" s="71" t="s">
        <v>44</v>
      </c>
      <c r="C8" s="72" t="s">
        <v>45</v>
      </c>
      <c r="D8" s="73">
        <v>1.989711987E9</v>
      </c>
      <c r="E8" s="26">
        <f t="shared" si="1"/>
        <v>31119095477</v>
      </c>
      <c r="F8" s="27">
        <v>3.5E9</v>
      </c>
      <c r="G8" s="28">
        <f t="shared" si="2"/>
        <v>8.891170136</v>
      </c>
      <c r="H8" s="29">
        <v>10.5</v>
      </c>
      <c r="I8" s="30">
        <f t="shared" si="3"/>
        <v>-0.1532218918</v>
      </c>
      <c r="J8" s="74">
        <v>0.067</v>
      </c>
      <c r="K8" s="75">
        <v>0.85</v>
      </c>
      <c r="L8" s="33">
        <f t="shared" si="4"/>
        <v>1.759048557</v>
      </c>
      <c r="M8" s="76">
        <v>0.65</v>
      </c>
      <c r="N8" s="77">
        <f t="shared" si="5"/>
        <v>1.143381562</v>
      </c>
      <c r="O8" s="35">
        <f t="shared" si="6"/>
        <v>0.07310623799</v>
      </c>
      <c r="P8" s="78">
        <f>IFERROR(__xludf.DUMMYFUNCTION("GOOGLEFINANCE(""BVMF:GGBR3"")"),15.64)</f>
        <v>15.64</v>
      </c>
      <c r="Q8" s="79">
        <v>18.5</v>
      </c>
      <c r="R8" s="38">
        <f t="shared" si="7"/>
        <v>0.1545945946</v>
      </c>
      <c r="S8" s="72" t="s">
        <v>31</v>
      </c>
      <c r="T8" s="72" t="s">
        <v>46</v>
      </c>
      <c r="U8" s="39">
        <v>46091.0</v>
      </c>
    </row>
    <row r="9" ht="15.75" customHeight="1">
      <c r="A9" s="61" t="s">
        <v>47</v>
      </c>
      <c r="B9" s="62" t="s">
        <v>48</v>
      </c>
      <c r="C9" s="80" t="s">
        <v>49</v>
      </c>
      <c r="D9" s="64">
        <v>6.31845354E8</v>
      </c>
      <c r="E9" s="44">
        <f t="shared" si="1"/>
        <v>2988628524</v>
      </c>
      <c r="F9" s="45">
        <v>6.0E8</v>
      </c>
      <c r="G9" s="46">
        <f t="shared" si="2"/>
        <v>4.981047541</v>
      </c>
      <c r="H9" s="81">
        <v>8.3</v>
      </c>
      <c r="I9" s="48">
        <f t="shared" si="3"/>
        <v>-0.3998737903</v>
      </c>
      <c r="J9" s="66">
        <v>0.0026</v>
      </c>
      <c r="K9" s="82">
        <v>0.0</v>
      </c>
      <c r="L9" s="51">
        <f t="shared" si="4"/>
        <v>0.949599449</v>
      </c>
      <c r="M9" s="83">
        <v>0.5</v>
      </c>
      <c r="N9" s="51">
        <f t="shared" si="5"/>
        <v>0.4747997245</v>
      </c>
      <c r="O9" s="53">
        <f t="shared" si="6"/>
        <v>0.1003804914</v>
      </c>
      <c r="P9" s="68">
        <f>IFERROR(__xludf.DUMMYFUNCTION("GOOGLEFINANCE(""BVMF:BMGB4"")"),4.73)</f>
        <v>4.73</v>
      </c>
      <c r="Q9" s="55">
        <f>N9/0.085</f>
        <v>5.585879112</v>
      </c>
      <c r="R9" s="56">
        <f t="shared" si="7"/>
        <v>0.1532219181</v>
      </c>
      <c r="S9" s="80" t="s">
        <v>31</v>
      </c>
      <c r="T9" s="80" t="s">
        <v>50</v>
      </c>
      <c r="U9" s="58">
        <v>46091.0</v>
      </c>
    </row>
    <row r="10" ht="15.75" customHeight="1">
      <c r="A10" s="22" t="s">
        <v>51</v>
      </c>
      <c r="B10" s="23" t="s">
        <v>52</v>
      </c>
      <c r="C10" s="24" t="s">
        <v>53</v>
      </c>
      <c r="D10" s="59">
        <v>1.7336739E8</v>
      </c>
      <c r="E10" s="26">
        <f t="shared" si="1"/>
        <v>1333195229</v>
      </c>
      <c r="F10" s="27">
        <v>1.55E8</v>
      </c>
      <c r="G10" s="28">
        <f t="shared" si="2"/>
        <v>8.601259543</v>
      </c>
      <c r="H10" s="84">
        <v>9.8</v>
      </c>
      <c r="I10" s="30">
        <f t="shared" si="3"/>
        <v>-0.1223204548</v>
      </c>
      <c r="J10" s="31">
        <v>0.173</v>
      </c>
      <c r="K10" s="60">
        <v>-0.19</v>
      </c>
      <c r="L10" s="33">
        <f t="shared" si="4"/>
        <v>0.8940551046</v>
      </c>
      <c r="M10" s="34">
        <v>0.6</v>
      </c>
      <c r="N10" s="33">
        <f t="shared" si="5"/>
        <v>0.5364330628</v>
      </c>
      <c r="O10" s="35">
        <f t="shared" si="6"/>
        <v>0.06975722533</v>
      </c>
      <c r="P10" s="36">
        <f>IFERROR(__xludf.DUMMYFUNCTION("GOOGLEFINANCE(""BVMF:KEPL3"")"),7.69)</f>
        <v>7.69</v>
      </c>
      <c r="Q10" s="37">
        <v>9.0</v>
      </c>
      <c r="R10" s="38">
        <f t="shared" si="7"/>
        <v>0.1455555556</v>
      </c>
      <c r="S10" s="24" t="s">
        <v>36</v>
      </c>
      <c r="T10" s="24" t="s">
        <v>54</v>
      </c>
      <c r="U10" s="39">
        <v>46091.0</v>
      </c>
    </row>
    <row r="11" ht="15.75" customHeight="1">
      <c r="A11" s="85" t="s">
        <v>55</v>
      </c>
      <c r="B11" s="86" t="s">
        <v>56</v>
      </c>
      <c r="C11" s="85" t="s">
        <v>57</v>
      </c>
      <c r="D11" s="87">
        <v>4.88678545E8</v>
      </c>
      <c r="E11" s="44">
        <f t="shared" si="1"/>
        <v>14621262066</v>
      </c>
      <c r="F11" s="45">
        <v>1.5E9</v>
      </c>
      <c r="G11" s="46">
        <f t="shared" si="2"/>
        <v>9.747508044</v>
      </c>
      <c r="H11" s="88">
        <v>16.0</v>
      </c>
      <c r="I11" s="48">
        <f t="shared" si="3"/>
        <v>-0.3907807472</v>
      </c>
      <c r="J11" s="89">
        <v>0.018</v>
      </c>
      <c r="K11" s="90">
        <v>2.28</v>
      </c>
      <c r="L11" s="51">
        <f t="shared" si="4"/>
        <v>3.069502468</v>
      </c>
      <c r="M11" s="91">
        <v>0.5</v>
      </c>
      <c r="N11" s="92">
        <f t="shared" si="5"/>
        <v>1.534751234</v>
      </c>
      <c r="O11" s="53">
        <f t="shared" si="6"/>
        <v>0.05129516157</v>
      </c>
      <c r="P11" s="93">
        <f>IFERROR(__xludf.DUMMYFUNCTION("GOOGLEFINANCE(""BVMF:MULT3"")"),29.92)</f>
        <v>29.92</v>
      </c>
      <c r="Q11" s="94">
        <v>35.0</v>
      </c>
      <c r="R11" s="56">
        <f t="shared" si="7"/>
        <v>0.1451428571</v>
      </c>
      <c r="S11" s="95" t="s">
        <v>36</v>
      </c>
      <c r="T11" s="96" t="s">
        <v>58</v>
      </c>
      <c r="U11" s="58">
        <v>46091.0</v>
      </c>
    </row>
    <row r="12" ht="15.75" customHeight="1">
      <c r="A12" s="97" t="s">
        <v>59</v>
      </c>
      <c r="B12" s="98" t="s">
        <v>60</v>
      </c>
      <c r="C12" s="99" t="s">
        <v>61</v>
      </c>
      <c r="D12" s="100">
        <v>1.241439543E9</v>
      </c>
      <c r="E12" s="26">
        <f t="shared" si="1"/>
        <v>6852746277</v>
      </c>
      <c r="F12" s="27">
        <v>1.2E9</v>
      </c>
      <c r="G12" s="28">
        <f t="shared" si="2"/>
        <v>5.710621898</v>
      </c>
      <c r="H12" s="101">
        <v>10.8</v>
      </c>
      <c r="I12" s="30">
        <f t="shared" si="3"/>
        <v>-0.4712387132</v>
      </c>
      <c r="J12" s="102">
        <v>0.682</v>
      </c>
      <c r="K12" s="103">
        <v>0.85</v>
      </c>
      <c r="L12" s="33">
        <f t="shared" si="4"/>
        <v>0.9666197656</v>
      </c>
      <c r="M12" s="34">
        <v>0.5</v>
      </c>
      <c r="N12" s="33">
        <f t="shared" si="5"/>
        <v>0.4833098828</v>
      </c>
      <c r="O12" s="35">
        <f t="shared" si="6"/>
        <v>0.08755613818</v>
      </c>
      <c r="P12" s="104">
        <f>IFERROR(__xludf.DUMMYFUNCTION("GOOGLEFINANCE(""BVMF:POMO3"")"),5.52)</f>
        <v>5.52</v>
      </c>
      <c r="Q12" s="33">
        <f>N12/0.075</f>
        <v>6.44413177</v>
      </c>
      <c r="R12" s="38">
        <f t="shared" si="7"/>
        <v>0.1434067153</v>
      </c>
      <c r="S12" s="24" t="s">
        <v>31</v>
      </c>
      <c r="T12" s="105" t="s">
        <v>62</v>
      </c>
      <c r="U12" s="39">
        <v>46091.0</v>
      </c>
    </row>
    <row r="13" ht="15.75" customHeight="1">
      <c r="A13" s="40" t="s">
        <v>63</v>
      </c>
      <c r="B13" s="41" t="s">
        <v>64</v>
      </c>
      <c r="C13" s="106" t="s">
        <v>65</v>
      </c>
      <c r="D13" s="43">
        <v>8.1843E7</v>
      </c>
      <c r="E13" s="44">
        <f t="shared" si="1"/>
        <v>4529191620</v>
      </c>
      <c r="F13" s="45">
        <v>6.7E8</v>
      </c>
      <c r="G13" s="46">
        <f t="shared" si="2"/>
        <v>6.759987493</v>
      </c>
      <c r="H13" s="47">
        <v>15.8</v>
      </c>
      <c r="I13" s="48">
        <f t="shared" si="3"/>
        <v>-0.5721526903</v>
      </c>
      <c r="J13" s="49">
        <v>0.0</v>
      </c>
      <c r="K13" s="50">
        <v>0.0</v>
      </c>
      <c r="L13" s="51">
        <f t="shared" si="4"/>
        <v>8.186405679</v>
      </c>
      <c r="M13" s="67">
        <v>0.5</v>
      </c>
      <c r="N13" s="51">
        <f t="shared" si="5"/>
        <v>4.09320284</v>
      </c>
      <c r="O13" s="53">
        <f t="shared" si="6"/>
        <v>0.07396463389</v>
      </c>
      <c r="P13" s="54">
        <f>IFERROR(__xludf.DUMMYFUNCTION("GOOGLEFINANCE(""BVMF:IRBR3"")"),55.34)</f>
        <v>55.34</v>
      </c>
      <c r="Q13" s="107">
        <v>64.55</v>
      </c>
      <c r="R13" s="56">
        <f t="shared" si="7"/>
        <v>0.142680093</v>
      </c>
      <c r="S13" s="42" t="s">
        <v>66</v>
      </c>
      <c r="T13" s="42" t="s">
        <v>66</v>
      </c>
      <c r="U13" s="58">
        <v>46091.0</v>
      </c>
    </row>
    <row r="14" ht="15.75" customHeight="1">
      <c r="A14" s="22" t="s">
        <v>67</v>
      </c>
      <c r="B14" s="23" t="s">
        <v>68</v>
      </c>
      <c r="C14" s="108" t="s">
        <v>65</v>
      </c>
      <c r="D14" s="59">
        <v>6.4658606E8</v>
      </c>
      <c r="E14" s="26">
        <f t="shared" si="1"/>
        <v>31883158619</v>
      </c>
      <c r="F14" s="27">
        <v>3.7E9</v>
      </c>
      <c r="G14" s="28">
        <f t="shared" si="2"/>
        <v>8.617069897</v>
      </c>
      <c r="H14" s="29">
        <v>11.0</v>
      </c>
      <c r="I14" s="30">
        <f t="shared" si="3"/>
        <v>-0.2166300094</v>
      </c>
      <c r="J14" s="31">
        <v>0.134</v>
      </c>
      <c r="K14" s="60">
        <v>0.0</v>
      </c>
      <c r="L14" s="33">
        <f t="shared" si="4"/>
        <v>5.722362774</v>
      </c>
      <c r="M14" s="109">
        <v>0.5</v>
      </c>
      <c r="N14" s="33">
        <f t="shared" si="5"/>
        <v>2.861181387</v>
      </c>
      <c r="O14" s="35">
        <f t="shared" si="6"/>
        <v>0.05802436396</v>
      </c>
      <c r="P14" s="36">
        <f>IFERROR(__xludf.DUMMYFUNCTION("GOOGLEFINANCE(""BVMF:PSSA3"")"),49.31)</f>
        <v>49.31</v>
      </c>
      <c r="Q14" s="33">
        <f>10*L14</f>
        <v>57.22362774</v>
      </c>
      <c r="R14" s="38">
        <f t="shared" si="7"/>
        <v>0.1382930103</v>
      </c>
      <c r="S14" s="24" t="s">
        <v>36</v>
      </c>
      <c r="T14" s="24" t="s">
        <v>69</v>
      </c>
      <c r="U14" s="39">
        <v>46091.0</v>
      </c>
    </row>
    <row r="15" ht="15.75" customHeight="1">
      <c r="A15" s="61" t="s">
        <v>70</v>
      </c>
      <c r="B15" s="62" t="s">
        <v>71</v>
      </c>
      <c r="C15" s="63" t="s">
        <v>25</v>
      </c>
      <c r="D15" s="64">
        <v>1.244049145E9</v>
      </c>
      <c r="E15" s="44">
        <f t="shared" si="1"/>
        <v>23773779161</v>
      </c>
      <c r="F15" s="45">
        <v>8.6E9</v>
      </c>
      <c r="G15" s="46">
        <f t="shared" si="2"/>
        <v>2.764392926</v>
      </c>
      <c r="H15" s="65">
        <v>9.6</v>
      </c>
      <c r="I15" s="48">
        <f t="shared" si="3"/>
        <v>-0.7120424036</v>
      </c>
      <c r="J15" s="110">
        <v>0.1046</v>
      </c>
      <c r="K15" s="50">
        <v>3.7</v>
      </c>
      <c r="L15" s="51">
        <f t="shared" si="4"/>
        <v>6.912910181</v>
      </c>
      <c r="M15" s="67">
        <v>0.15</v>
      </c>
      <c r="N15" s="51">
        <f t="shared" si="5"/>
        <v>1.036936527</v>
      </c>
      <c r="O15" s="53">
        <f t="shared" si="6"/>
        <v>0.05426146139</v>
      </c>
      <c r="P15" s="111">
        <f>IFERROR(__xludf.DUMMYFUNCTION("GOOGLEFINANCE(""BVMF:KLBN11"")"),19.11)</f>
        <v>19.11</v>
      </c>
      <c r="Q15" s="55">
        <v>22.0</v>
      </c>
      <c r="R15" s="56">
        <f t="shared" si="7"/>
        <v>0.1313636364</v>
      </c>
      <c r="S15" s="80" t="s">
        <v>31</v>
      </c>
      <c r="T15" s="80" t="s">
        <v>72</v>
      </c>
      <c r="U15" s="58">
        <v>46091.0</v>
      </c>
    </row>
    <row r="16" ht="15.75" customHeight="1">
      <c r="A16" s="22" t="s">
        <v>73</v>
      </c>
      <c r="B16" s="23" t="s">
        <v>74</v>
      </c>
      <c r="C16" s="108" t="s">
        <v>49</v>
      </c>
      <c r="D16" s="112">
        <v>1.05970127E10</v>
      </c>
      <c r="E16" s="26">
        <f t="shared" si="1"/>
        <v>174002948534</v>
      </c>
      <c r="F16" s="27">
        <v>2.8E10</v>
      </c>
      <c r="G16" s="28">
        <f t="shared" si="2"/>
        <v>6.214391019</v>
      </c>
      <c r="H16" s="29">
        <v>9.2</v>
      </c>
      <c r="I16" s="30">
        <f t="shared" si="3"/>
        <v>-0.3245227153</v>
      </c>
      <c r="J16" s="31">
        <v>0.0485</v>
      </c>
      <c r="K16" s="60">
        <v>0.0</v>
      </c>
      <c r="L16" s="33">
        <f t="shared" si="4"/>
        <v>2.642254076</v>
      </c>
      <c r="M16" s="34">
        <v>0.5</v>
      </c>
      <c r="N16" s="33">
        <f t="shared" si="5"/>
        <v>1.321127038</v>
      </c>
      <c r="O16" s="35">
        <f t="shared" si="6"/>
        <v>0.0804584067</v>
      </c>
      <c r="P16" s="36">
        <f>IFERROR(__xludf.DUMMYFUNCTION("GOOGLEFINANCE(""BVMF:BBDC3"")"),16.42)</f>
        <v>16.42</v>
      </c>
      <c r="Q16" s="33">
        <f>N16/0.07</f>
        <v>18.8732434</v>
      </c>
      <c r="R16" s="38">
        <f t="shared" si="7"/>
        <v>0.1299852573</v>
      </c>
      <c r="S16" s="24" t="s">
        <v>75</v>
      </c>
      <c r="T16" s="24" t="s">
        <v>76</v>
      </c>
      <c r="U16" s="39">
        <v>46091.0</v>
      </c>
    </row>
    <row r="17" ht="15.75" customHeight="1">
      <c r="A17" s="61" t="s">
        <v>70</v>
      </c>
      <c r="B17" s="62" t="s">
        <v>77</v>
      </c>
      <c r="C17" s="63" t="s">
        <v>25</v>
      </c>
      <c r="D17" s="64">
        <v>6.220245728E9</v>
      </c>
      <c r="E17" s="44">
        <f t="shared" si="1"/>
        <v>23823541138</v>
      </c>
      <c r="F17" s="45">
        <v>8.6E9</v>
      </c>
      <c r="G17" s="46">
        <f t="shared" si="2"/>
        <v>2.770179202</v>
      </c>
      <c r="H17" s="65">
        <v>9.6</v>
      </c>
      <c r="I17" s="48">
        <f t="shared" si="3"/>
        <v>-0.7114396664</v>
      </c>
      <c r="J17" s="110">
        <v>0.1046</v>
      </c>
      <c r="K17" s="50">
        <v>3.7</v>
      </c>
      <c r="L17" s="51">
        <f t="shared" si="4"/>
        <v>1.382582036</v>
      </c>
      <c r="M17" s="67">
        <v>0.15</v>
      </c>
      <c r="N17" s="51">
        <f t="shared" si="5"/>
        <v>0.2073873053</v>
      </c>
      <c r="O17" s="53">
        <f t="shared" si="6"/>
        <v>0.0541481215</v>
      </c>
      <c r="P17" s="111">
        <f>IFERROR(__xludf.DUMMYFUNCTION("GOOGLEFINANCE(""BVMF:KLBN4"")"),3.83)</f>
        <v>3.83</v>
      </c>
      <c r="Q17" s="55">
        <v>4.4</v>
      </c>
      <c r="R17" s="56">
        <f t="shared" si="7"/>
        <v>0.1295454545</v>
      </c>
      <c r="S17" s="80" t="s">
        <v>31</v>
      </c>
      <c r="T17" s="80" t="s">
        <v>72</v>
      </c>
      <c r="U17" s="58">
        <v>46091.0</v>
      </c>
    </row>
    <row r="18" ht="15.75" customHeight="1">
      <c r="A18" s="108" t="s">
        <v>70</v>
      </c>
      <c r="B18" s="71" t="s">
        <v>78</v>
      </c>
      <c r="C18" s="70" t="s">
        <v>25</v>
      </c>
      <c r="D18" s="113">
        <v>6.220245728E9</v>
      </c>
      <c r="E18" s="26">
        <f t="shared" si="1"/>
        <v>23885743596</v>
      </c>
      <c r="F18" s="27">
        <v>8.6E9</v>
      </c>
      <c r="G18" s="28">
        <f t="shared" si="2"/>
        <v>2.777412046</v>
      </c>
      <c r="H18" s="29">
        <v>9.6</v>
      </c>
      <c r="I18" s="30">
        <f t="shared" si="3"/>
        <v>-0.7106862452</v>
      </c>
      <c r="J18" s="102">
        <v>0.1046</v>
      </c>
      <c r="K18" s="75">
        <v>3.7</v>
      </c>
      <c r="L18" s="33">
        <f t="shared" si="4"/>
        <v>1.382582036</v>
      </c>
      <c r="M18" s="76">
        <v>0.15</v>
      </c>
      <c r="N18" s="33">
        <f t="shared" si="5"/>
        <v>0.2073873053</v>
      </c>
      <c r="O18" s="114">
        <f t="shared" si="6"/>
        <v>0.05400711076</v>
      </c>
      <c r="P18" s="78">
        <f>IFERROR(__xludf.DUMMYFUNCTION("GOOGLEFINANCE(""BVMF:KLBN3"")"),3.84)</f>
        <v>3.84</v>
      </c>
      <c r="Q18" s="37">
        <v>4.4</v>
      </c>
      <c r="R18" s="38">
        <f t="shared" si="7"/>
        <v>0.1272727273</v>
      </c>
      <c r="S18" s="72" t="s">
        <v>31</v>
      </c>
      <c r="T18" s="24" t="s">
        <v>72</v>
      </c>
      <c r="U18" s="39">
        <v>46091.0</v>
      </c>
    </row>
    <row r="19" ht="15.75" customHeight="1">
      <c r="A19" s="63" t="s">
        <v>79</v>
      </c>
      <c r="B19" s="115" t="s">
        <v>80</v>
      </c>
      <c r="C19" s="116" t="s">
        <v>49</v>
      </c>
      <c r="D19" s="117">
        <v>1.23728626E8</v>
      </c>
      <c r="E19" s="44">
        <f t="shared" si="1"/>
        <v>8751325717</v>
      </c>
      <c r="F19" s="45">
        <v>1.2E9</v>
      </c>
      <c r="G19" s="46">
        <f t="shared" si="2"/>
        <v>7.292771431</v>
      </c>
      <c r="H19" s="81">
        <v>6.2</v>
      </c>
      <c r="I19" s="48">
        <f t="shared" si="3"/>
        <v>0.1762534566</v>
      </c>
      <c r="J19" s="118">
        <v>0.301</v>
      </c>
      <c r="K19" s="90">
        <v>0.0</v>
      </c>
      <c r="L19" s="51">
        <f t="shared" si="4"/>
        <v>9.698644839</v>
      </c>
      <c r="M19" s="119">
        <v>0.3</v>
      </c>
      <c r="N19" s="92">
        <f t="shared" si="5"/>
        <v>2.909593452</v>
      </c>
      <c r="O19" s="120">
        <f t="shared" si="6"/>
        <v>0.04113662451</v>
      </c>
      <c r="P19" s="121">
        <f>IFERROR(__xludf.DUMMYFUNCTION("GOOGLEFINANCE(""BVMF:BMEB3"")"),70.73)</f>
        <v>70.73</v>
      </c>
      <c r="Q19" s="55">
        <v>81.0</v>
      </c>
      <c r="R19" s="56">
        <f t="shared" si="7"/>
        <v>0.1267901235</v>
      </c>
      <c r="S19" s="122" t="s">
        <v>75</v>
      </c>
      <c r="T19" s="80" t="s">
        <v>81</v>
      </c>
      <c r="U19" s="58">
        <v>46091.0</v>
      </c>
    </row>
    <row r="20" ht="15.75" customHeight="1">
      <c r="A20" s="22" t="s">
        <v>82</v>
      </c>
      <c r="B20" s="23" t="s">
        <v>83</v>
      </c>
      <c r="C20" s="108" t="s">
        <v>65</v>
      </c>
      <c r="D20" s="113">
        <v>1.941214909E9</v>
      </c>
      <c r="E20" s="26">
        <f t="shared" si="1"/>
        <v>68039582560</v>
      </c>
      <c r="F20" s="27">
        <v>8.65E9</v>
      </c>
      <c r="G20" s="28">
        <f t="shared" si="2"/>
        <v>7.865847695</v>
      </c>
      <c r="H20" s="29">
        <v>12.1</v>
      </c>
      <c r="I20" s="30">
        <f t="shared" si="3"/>
        <v>-0.3499299426</v>
      </c>
      <c r="J20" s="74">
        <v>0.183</v>
      </c>
      <c r="K20" s="103">
        <v>0.0</v>
      </c>
      <c r="L20" s="33">
        <f t="shared" si="4"/>
        <v>4.455972371</v>
      </c>
      <c r="M20" s="34">
        <v>0.88</v>
      </c>
      <c r="N20" s="33">
        <f t="shared" si="5"/>
        <v>3.921255686</v>
      </c>
      <c r="O20" s="114">
        <f t="shared" si="6"/>
        <v>0.1118760538</v>
      </c>
      <c r="P20" s="36">
        <f>IFERROR(__xludf.DUMMYFUNCTION("GOOGLEFINANCE(""BVMF:BBSE3"")"),35.05)</f>
        <v>35.05</v>
      </c>
      <c r="Q20" s="37">
        <v>40.0</v>
      </c>
      <c r="R20" s="38">
        <f t="shared" si="7"/>
        <v>0.12375</v>
      </c>
      <c r="S20" s="24" t="s">
        <v>75</v>
      </c>
      <c r="T20" s="24" t="s">
        <v>84</v>
      </c>
      <c r="U20" s="39">
        <v>46091.0</v>
      </c>
    </row>
    <row r="21" ht="15.75" customHeight="1">
      <c r="A21" s="123" t="s">
        <v>85</v>
      </c>
      <c r="B21" s="124" t="s">
        <v>86</v>
      </c>
      <c r="C21" s="125" t="s">
        <v>57</v>
      </c>
      <c r="D21" s="64">
        <v>4.9918078E8</v>
      </c>
      <c r="E21" s="44">
        <f t="shared" si="1"/>
        <v>14436308158</v>
      </c>
      <c r="F21" s="45">
        <v>1.5E9</v>
      </c>
      <c r="G21" s="46">
        <f t="shared" si="2"/>
        <v>9.624205438</v>
      </c>
      <c r="H21" s="88">
        <v>14.4</v>
      </c>
      <c r="I21" s="48">
        <f t="shared" si="3"/>
        <v>-0.3316524001</v>
      </c>
      <c r="J21" s="89">
        <v>0.365</v>
      </c>
      <c r="K21" s="126">
        <v>1.8</v>
      </c>
      <c r="L21" s="51">
        <f t="shared" si="4"/>
        <v>3.004923387</v>
      </c>
      <c r="M21" s="52">
        <v>1.158</v>
      </c>
      <c r="N21" s="51">
        <f t="shared" si="5"/>
        <v>3.479701282</v>
      </c>
      <c r="O21" s="120">
        <f t="shared" si="6"/>
        <v>0.1203216211</v>
      </c>
      <c r="P21" s="54">
        <f>IFERROR(__xludf.DUMMYFUNCTION("GOOGLEFINANCE(""BVMF:ALOS3"")"),28.92)</f>
        <v>28.92</v>
      </c>
      <c r="Q21" s="107">
        <v>33.0</v>
      </c>
      <c r="R21" s="56">
        <f t="shared" si="7"/>
        <v>0.1236363636</v>
      </c>
      <c r="S21" s="127" t="s">
        <v>41</v>
      </c>
      <c r="T21" s="128" t="s">
        <v>87</v>
      </c>
      <c r="U21" s="58">
        <v>46091.0</v>
      </c>
    </row>
    <row r="22" ht="15.75" customHeight="1">
      <c r="A22" s="22" t="s">
        <v>88</v>
      </c>
      <c r="B22" s="23" t="s">
        <v>89</v>
      </c>
      <c r="C22" s="108" t="s">
        <v>45</v>
      </c>
      <c r="D22" s="113">
        <v>1.324908144E9</v>
      </c>
      <c r="E22" s="26">
        <f t="shared" si="1"/>
        <v>10453525256</v>
      </c>
      <c r="F22" s="27">
        <v>1.23E9</v>
      </c>
      <c r="G22" s="28">
        <f t="shared" si="2"/>
        <v>8.498801021</v>
      </c>
      <c r="H22" s="29">
        <v>8.9</v>
      </c>
      <c r="I22" s="30">
        <f t="shared" si="3"/>
        <v>-0.04507853694</v>
      </c>
      <c r="J22" s="31">
        <v>0.067</v>
      </c>
      <c r="K22" s="32">
        <v>0.85</v>
      </c>
      <c r="L22" s="33">
        <f t="shared" si="4"/>
        <v>0.928366246</v>
      </c>
      <c r="M22" s="34">
        <v>0.6</v>
      </c>
      <c r="N22" s="33">
        <f t="shared" si="5"/>
        <v>0.5570197476</v>
      </c>
      <c r="O22" s="114">
        <f t="shared" si="6"/>
        <v>0.07059819362</v>
      </c>
      <c r="P22" s="36">
        <f>IFERROR(__xludf.DUMMYFUNCTION("GOOGLEFINANCE(""BVMF:GOAU3"")"),7.89)</f>
        <v>7.89</v>
      </c>
      <c r="Q22" s="37">
        <v>9.0</v>
      </c>
      <c r="R22" s="38">
        <f t="shared" si="7"/>
        <v>0.1233333333</v>
      </c>
      <c r="S22" s="24" t="s">
        <v>31</v>
      </c>
      <c r="T22" s="24" t="s">
        <v>46</v>
      </c>
      <c r="U22" s="39">
        <v>46091.0</v>
      </c>
    </row>
    <row r="23" ht="15.75" customHeight="1">
      <c r="A23" s="61" t="s">
        <v>90</v>
      </c>
      <c r="B23" s="62" t="s">
        <v>91</v>
      </c>
      <c r="C23" s="63" t="s">
        <v>92</v>
      </c>
      <c r="D23" s="129">
        <v>4.1280684E7</v>
      </c>
      <c r="E23" s="44">
        <f t="shared" si="1"/>
        <v>759564585.6</v>
      </c>
      <c r="F23" s="45">
        <v>1.15E8</v>
      </c>
      <c r="G23" s="46">
        <f t="shared" si="2"/>
        <v>6.60490944</v>
      </c>
      <c r="H23" s="65">
        <v>10.1</v>
      </c>
      <c r="I23" s="48">
        <f t="shared" si="3"/>
        <v>-0.3460485703</v>
      </c>
      <c r="J23" s="110">
        <v>0.147</v>
      </c>
      <c r="K23" s="82">
        <v>-0.13</v>
      </c>
      <c r="L23" s="51">
        <f t="shared" si="4"/>
        <v>2.785806553</v>
      </c>
      <c r="M23" s="83">
        <v>0.5</v>
      </c>
      <c r="N23" s="51">
        <f t="shared" si="5"/>
        <v>1.392903277</v>
      </c>
      <c r="O23" s="53">
        <f t="shared" si="6"/>
        <v>0.07570126503</v>
      </c>
      <c r="P23" s="111">
        <f>IFERROR(__xludf.DUMMYFUNCTION("GOOGLEFINANCE(""BVMF:CSUD3"")"),18.4)</f>
        <v>18.4</v>
      </c>
      <c r="Q23" s="55">
        <f>7.5*L23</f>
        <v>20.89354915</v>
      </c>
      <c r="R23" s="56">
        <f t="shared" si="7"/>
        <v>0.119345408</v>
      </c>
      <c r="S23" s="80" t="s">
        <v>31</v>
      </c>
      <c r="T23" s="130" t="s">
        <v>93</v>
      </c>
      <c r="U23" s="58">
        <v>46093.0</v>
      </c>
    </row>
    <row r="24" ht="15.75" customHeight="1">
      <c r="A24" s="22" t="s">
        <v>94</v>
      </c>
      <c r="B24" s="23" t="s">
        <v>95</v>
      </c>
      <c r="C24" s="24" t="s">
        <v>61</v>
      </c>
      <c r="D24" s="113">
        <v>1.2096114E8</v>
      </c>
      <c r="E24" s="26">
        <f t="shared" si="1"/>
        <v>864872151</v>
      </c>
      <c r="F24" s="27">
        <v>1.3E8</v>
      </c>
      <c r="G24" s="28">
        <f t="shared" si="2"/>
        <v>6.6528627</v>
      </c>
      <c r="H24" s="84">
        <v>5.9</v>
      </c>
      <c r="I24" s="30">
        <f t="shared" si="3"/>
        <v>0.1276038475</v>
      </c>
      <c r="J24" s="31">
        <v>0.028</v>
      </c>
      <c r="K24" s="60">
        <v>0.08</v>
      </c>
      <c r="L24" s="33">
        <f t="shared" si="4"/>
        <v>1.074725321</v>
      </c>
      <c r="M24" s="34">
        <v>0.45</v>
      </c>
      <c r="N24" s="33">
        <f t="shared" si="5"/>
        <v>0.4836263944</v>
      </c>
      <c r="O24" s="35">
        <f t="shared" si="6"/>
        <v>0.06764005516</v>
      </c>
      <c r="P24" s="36">
        <f>IFERROR(__xludf.DUMMYFUNCTION("GOOGLEFINANCE(""BVMF:DEXP3"")"),7.15)</f>
        <v>7.15</v>
      </c>
      <c r="Q24" s="37">
        <v>8.1</v>
      </c>
      <c r="R24" s="38">
        <f t="shared" si="7"/>
        <v>0.1172839506</v>
      </c>
      <c r="S24" s="24" t="s">
        <v>75</v>
      </c>
      <c r="T24" s="24" t="s">
        <v>96</v>
      </c>
      <c r="U24" s="39">
        <v>46091.0</v>
      </c>
    </row>
    <row r="25" ht="15.75" customHeight="1">
      <c r="A25" s="61" t="s">
        <v>97</v>
      </c>
      <c r="B25" s="62" t="s">
        <v>98</v>
      </c>
      <c r="C25" s="63" t="s">
        <v>49</v>
      </c>
      <c r="D25" s="129">
        <v>4.08974E8</v>
      </c>
      <c r="E25" s="44">
        <f t="shared" si="1"/>
        <v>6919840080</v>
      </c>
      <c r="F25" s="45">
        <v>1.4E9</v>
      </c>
      <c r="G25" s="46">
        <f t="shared" si="2"/>
        <v>4.942742914</v>
      </c>
      <c r="H25" s="81">
        <v>6.5</v>
      </c>
      <c r="I25" s="48">
        <f t="shared" si="3"/>
        <v>-0.2395780132</v>
      </c>
      <c r="J25" s="66">
        <v>0.011</v>
      </c>
      <c r="K25" s="82">
        <v>0.0</v>
      </c>
      <c r="L25" s="51">
        <f t="shared" si="4"/>
        <v>3.423200497</v>
      </c>
      <c r="M25" s="83">
        <v>0.45</v>
      </c>
      <c r="N25" s="51">
        <f t="shared" si="5"/>
        <v>1.540440224</v>
      </c>
      <c r="O25" s="53">
        <f t="shared" si="6"/>
        <v>0.09104256641</v>
      </c>
      <c r="P25" s="111">
        <f>IFERROR(__xludf.DUMMYFUNCTION("GOOGLEFINANCE(""BVMF:BRSR6"")"),16.92)</f>
        <v>16.92</v>
      </c>
      <c r="Q25" s="55">
        <v>19.15</v>
      </c>
      <c r="R25" s="56">
        <f t="shared" si="7"/>
        <v>0.1164490862</v>
      </c>
      <c r="S25" s="80" t="s">
        <v>31</v>
      </c>
      <c r="T25" s="80" t="s">
        <v>99</v>
      </c>
      <c r="U25" s="58">
        <v>46091.0</v>
      </c>
    </row>
    <row r="26" ht="15.75" customHeight="1">
      <c r="A26" s="22" t="s">
        <v>100</v>
      </c>
      <c r="B26" s="23" t="s">
        <v>101</v>
      </c>
      <c r="C26" s="108" t="s">
        <v>102</v>
      </c>
      <c r="D26" s="59">
        <v>6.6003E7</v>
      </c>
      <c r="E26" s="26">
        <f t="shared" si="1"/>
        <v>2075794350</v>
      </c>
      <c r="F26" s="27">
        <v>2.2E8</v>
      </c>
      <c r="G26" s="28">
        <f t="shared" si="2"/>
        <v>9.435428864</v>
      </c>
      <c r="H26" s="29">
        <v>12.9</v>
      </c>
      <c r="I26" s="30">
        <f t="shared" si="3"/>
        <v>-0.2685714059</v>
      </c>
      <c r="J26" s="31">
        <v>0.307</v>
      </c>
      <c r="K26" s="60">
        <v>-0.35</v>
      </c>
      <c r="L26" s="33">
        <f t="shared" si="4"/>
        <v>3.333181825</v>
      </c>
      <c r="M26" s="34">
        <v>0.8</v>
      </c>
      <c r="N26" s="33">
        <f t="shared" si="5"/>
        <v>2.66654546</v>
      </c>
      <c r="O26" s="35">
        <f t="shared" si="6"/>
        <v>0.08478681908</v>
      </c>
      <c r="P26" s="36">
        <f>IFERROR(__xludf.DUMMYFUNCTION("GOOGLEFINANCE(""BVMF:TGMA3"")"),31.45)</f>
        <v>31.45</v>
      </c>
      <c r="Q26" s="33">
        <f>N26/0.075</f>
        <v>35.55393947</v>
      </c>
      <c r="R26" s="38">
        <f t="shared" si="7"/>
        <v>0.115428544</v>
      </c>
      <c r="S26" s="24" t="s">
        <v>36</v>
      </c>
      <c r="T26" s="24" t="s">
        <v>103</v>
      </c>
      <c r="U26" s="39">
        <v>46091.0</v>
      </c>
    </row>
    <row r="27" ht="15.75" customHeight="1">
      <c r="A27" s="61" t="s">
        <v>79</v>
      </c>
      <c r="B27" s="62" t="s">
        <v>104</v>
      </c>
      <c r="C27" s="63" t="s">
        <v>49</v>
      </c>
      <c r="D27" s="64">
        <v>1.23728626E8</v>
      </c>
      <c r="E27" s="44">
        <f t="shared" si="1"/>
        <v>9898290080</v>
      </c>
      <c r="F27" s="45">
        <v>1.2E9</v>
      </c>
      <c r="G27" s="46">
        <f t="shared" si="2"/>
        <v>8.248575067</v>
      </c>
      <c r="H27" s="81">
        <v>6.2</v>
      </c>
      <c r="I27" s="48">
        <f t="shared" si="3"/>
        <v>0.3304153333</v>
      </c>
      <c r="J27" s="66">
        <v>0.301</v>
      </c>
      <c r="K27" s="82">
        <v>0.0</v>
      </c>
      <c r="L27" s="51">
        <f t="shared" si="4"/>
        <v>9.698644839</v>
      </c>
      <c r="M27" s="67">
        <v>0.3</v>
      </c>
      <c r="N27" s="51">
        <f t="shared" si="5"/>
        <v>2.909593452</v>
      </c>
      <c r="O27" s="53">
        <f t="shared" si="6"/>
        <v>0.03636991815</v>
      </c>
      <c r="P27" s="111">
        <f>IFERROR(__xludf.DUMMYFUNCTION("GOOGLEFINANCE(""BVMF:BMEB4"")"),80.0)</f>
        <v>80</v>
      </c>
      <c r="Q27" s="55">
        <v>90.0</v>
      </c>
      <c r="R27" s="56">
        <f t="shared" si="7"/>
        <v>0.1111111111</v>
      </c>
      <c r="S27" s="80" t="s">
        <v>75</v>
      </c>
      <c r="T27" s="80" t="s">
        <v>81</v>
      </c>
      <c r="U27" s="58">
        <v>46091.0</v>
      </c>
    </row>
    <row r="28" ht="15.75" customHeight="1">
      <c r="A28" s="22" t="s">
        <v>105</v>
      </c>
      <c r="B28" s="23" t="s">
        <v>106</v>
      </c>
      <c r="C28" s="108" t="s">
        <v>107</v>
      </c>
      <c r="D28" s="59">
        <v>2.42059868E9</v>
      </c>
      <c r="E28" s="26">
        <f t="shared" si="1"/>
        <v>64387924888</v>
      </c>
      <c r="F28" s="27">
        <v>5.4E9</v>
      </c>
      <c r="G28" s="28">
        <f t="shared" si="2"/>
        <v>11.92368979</v>
      </c>
      <c r="H28" s="29">
        <v>14.8</v>
      </c>
      <c r="I28" s="30">
        <f t="shared" si="3"/>
        <v>-0.1943452842</v>
      </c>
      <c r="J28" s="31">
        <v>0.145</v>
      </c>
      <c r="K28" s="60">
        <v>-0.18</v>
      </c>
      <c r="L28" s="33">
        <f t="shared" si="4"/>
        <v>2.230853071</v>
      </c>
      <c r="M28" s="109">
        <v>1.0</v>
      </c>
      <c r="N28" s="33">
        <f t="shared" si="5"/>
        <v>2.230853071</v>
      </c>
      <c r="O28" s="35">
        <f t="shared" si="6"/>
        <v>0.08386665682</v>
      </c>
      <c r="P28" s="36">
        <f>IFERROR(__xludf.DUMMYFUNCTION("GOOGLEFINANCE(""BVMF:TIMS3"")"),26.6)</f>
        <v>26.6</v>
      </c>
      <c r="Q28" s="33">
        <f>N28/0.075</f>
        <v>29.74470762</v>
      </c>
      <c r="R28" s="38">
        <f t="shared" si="7"/>
        <v>0.1057232654</v>
      </c>
      <c r="S28" s="24" t="s">
        <v>26</v>
      </c>
      <c r="T28" s="24" t="s">
        <v>108</v>
      </c>
      <c r="U28" s="39">
        <v>46091.0</v>
      </c>
    </row>
    <row r="29" ht="15.75" customHeight="1">
      <c r="A29" s="40" t="s">
        <v>109</v>
      </c>
      <c r="B29" s="41" t="s">
        <v>110</v>
      </c>
      <c r="C29" s="106" t="s">
        <v>65</v>
      </c>
      <c r="D29" s="43">
        <v>1.59907E8</v>
      </c>
      <c r="E29" s="44">
        <f t="shared" si="1"/>
        <v>1434365790</v>
      </c>
      <c r="F29" s="45">
        <v>2.0E8</v>
      </c>
      <c r="G29" s="46">
        <f t="shared" si="2"/>
        <v>7.17182895</v>
      </c>
      <c r="H29" s="47">
        <v>8.6</v>
      </c>
      <c r="I29" s="48">
        <f t="shared" si="3"/>
        <v>-0.1660664012</v>
      </c>
      <c r="J29" s="49">
        <v>0.111</v>
      </c>
      <c r="K29" s="50">
        <v>0.7</v>
      </c>
      <c r="L29" s="51">
        <f t="shared" si="4"/>
        <v>1.250726985</v>
      </c>
      <c r="M29" s="52">
        <v>0.5</v>
      </c>
      <c r="N29" s="51">
        <f t="shared" si="5"/>
        <v>0.6253634925</v>
      </c>
      <c r="O29" s="53">
        <f t="shared" si="6"/>
        <v>0.06971722325</v>
      </c>
      <c r="P29" s="54">
        <f>IFERROR(__xludf.DUMMYFUNCTION("GOOGLEFINANCE(""BVMF:WIZC3"")"),8.97)</f>
        <v>8.97</v>
      </c>
      <c r="Q29" s="131">
        <f>8*L29</f>
        <v>10.00581588</v>
      </c>
      <c r="R29" s="56">
        <f t="shared" si="7"/>
        <v>0.1035213813</v>
      </c>
      <c r="S29" s="42" t="s">
        <v>111</v>
      </c>
      <c r="T29" s="57" t="s">
        <v>112</v>
      </c>
      <c r="U29" s="58">
        <v>46091.0</v>
      </c>
    </row>
    <row r="30" ht="15.75" customHeight="1">
      <c r="A30" s="132" t="s">
        <v>113</v>
      </c>
      <c r="B30" s="133" t="s">
        <v>114</v>
      </c>
      <c r="C30" s="134" t="s">
        <v>115</v>
      </c>
      <c r="D30" s="100">
        <v>3.6947E7</v>
      </c>
      <c r="E30" s="26">
        <f t="shared" si="1"/>
        <v>1644141500</v>
      </c>
      <c r="F30" s="27">
        <v>2.0E8</v>
      </c>
      <c r="G30" s="28">
        <f t="shared" si="2"/>
        <v>8.2207075</v>
      </c>
      <c r="H30" s="101">
        <v>14.6</v>
      </c>
      <c r="I30" s="30">
        <f t="shared" si="3"/>
        <v>-0.4369378425</v>
      </c>
      <c r="J30" s="135">
        <v>0.0</v>
      </c>
      <c r="K30" s="32">
        <v>-12.04</v>
      </c>
      <c r="L30" s="33">
        <f t="shared" si="4"/>
        <v>5.41315939</v>
      </c>
      <c r="M30" s="136">
        <v>0.4</v>
      </c>
      <c r="N30" s="33">
        <f t="shared" si="5"/>
        <v>2.165263756</v>
      </c>
      <c r="O30" s="35">
        <f t="shared" si="6"/>
        <v>0.0486576125</v>
      </c>
      <c r="P30" s="104">
        <f>IFERROR(__xludf.DUMMYFUNCTION("GOOGLEFINANCE(""BVMF:EMAE4"")"),44.5)</f>
        <v>44.5</v>
      </c>
      <c r="Q30" s="137">
        <v>49.5</v>
      </c>
      <c r="R30" s="38">
        <f t="shared" si="7"/>
        <v>0.101010101</v>
      </c>
      <c r="S30" s="138" t="s">
        <v>111</v>
      </c>
      <c r="T30" s="139" t="s">
        <v>112</v>
      </c>
      <c r="U30" s="39">
        <v>46091.0</v>
      </c>
    </row>
    <row r="31" ht="15.75" customHeight="1">
      <c r="A31" s="61" t="s">
        <v>116</v>
      </c>
      <c r="B31" s="62" t="s">
        <v>117</v>
      </c>
      <c r="C31" s="63" t="s">
        <v>49</v>
      </c>
      <c r="D31" s="64">
        <v>7.470968456E9</v>
      </c>
      <c r="E31" s="44">
        <f t="shared" si="1"/>
        <v>111915107471</v>
      </c>
      <c r="F31" s="45">
        <v>1.74E10</v>
      </c>
      <c r="G31" s="46">
        <f t="shared" si="2"/>
        <v>6.431902728</v>
      </c>
      <c r="H31" s="65">
        <v>10.2</v>
      </c>
      <c r="I31" s="48">
        <f t="shared" si="3"/>
        <v>-0.3694213012</v>
      </c>
      <c r="J31" s="66">
        <v>-0.015</v>
      </c>
      <c r="K31" s="82">
        <v>0.0</v>
      </c>
      <c r="L31" s="51">
        <f t="shared" si="4"/>
        <v>2.329015321</v>
      </c>
      <c r="M31" s="67">
        <v>0.5</v>
      </c>
      <c r="N31" s="51">
        <f t="shared" si="5"/>
        <v>1.164507661</v>
      </c>
      <c r="O31" s="53">
        <f t="shared" si="6"/>
        <v>0.07773749404</v>
      </c>
      <c r="P31" s="111">
        <f>IFERROR(__xludf.DUMMYFUNCTION("GOOGLEFINANCE(""BVMF:SANB3"")"),14.98)</f>
        <v>14.98</v>
      </c>
      <c r="Q31" s="51">
        <f>N31/0.07</f>
        <v>16.63582372</v>
      </c>
      <c r="R31" s="56">
        <f t="shared" si="7"/>
        <v>0.09953361805</v>
      </c>
      <c r="S31" s="80" t="s">
        <v>31</v>
      </c>
      <c r="T31" s="80" t="s">
        <v>118</v>
      </c>
      <c r="U31" s="58">
        <v>46091.0</v>
      </c>
    </row>
    <row r="32" ht="15.75" customHeight="1">
      <c r="A32" s="22" t="s">
        <v>119</v>
      </c>
      <c r="B32" s="23" t="s">
        <v>120</v>
      </c>
      <c r="C32" s="108" t="s">
        <v>49</v>
      </c>
      <c r="D32" s="59">
        <v>2.1548228E7</v>
      </c>
      <c r="E32" s="26">
        <f t="shared" si="1"/>
        <v>810859819.6</v>
      </c>
      <c r="F32" s="27">
        <v>1.5E8</v>
      </c>
      <c r="G32" s="28">
        <f t="shared" si="2"/>
        <v>5.405732131</v>
      </c>
      <c r="H32" s="84">
        <v>7.3</v>
      </c>
      <c r="I32" s="30">
        <f t="shared" si="3"/>
        <v>-0.2594887492</v>
      </c>
      <c r="J32" s="140">
        <v>0.22</v>
      </c>
      <c r="K32" s="60">
        <v>0.0</v>
      </c>
      <c r="L32" s="33">
        <f t="shared" si="4"/>
        <v>6.96112924</v>
      </c>
      <c r="M32" s="34">
        <v>0.45</v>
      </c>
      <c r="N32" s="33">
        <f t="shared" si="5"/>
        <v>3.132508158</v>
      </c>
      <c r="O32" s="35">
        <f t="shared" si="6"/>
        <v>0.08324496832</v>
      </c>
      <c r="P32" s="36">
        <f>IFERROR(__xludf.DUMMYFUNCTION("GOOGLEFINANCE(""BVMF:BGIP4"")"),37.63)</f>
        <v>37.63</v>
      </c>
      <c r="Q32" s="37">
        <f>N32/0.075</f>
        <v>41.76677544</v>
      </c>
      <c r="R32" s="38">
        <f t="shared" si="7"/>
        <v>0.09904464484</v>
      </c>
      <c r="S32" s="24" t="s">
        <v>31</v>
      </c>
      <c r="T32" s="141" t="s">
        <v>121</v>
      </c>
      <c r="U32" s="39">
        <v>46091.0</v>
      </c>
    </row>
    <row r="33" ht="15.75" customHeight="1">
      <c r="A33" s="61" t="s">
        <v>122</v>
      </c>
      <c r="B33" s="62" t="s">
        <v>123</v>
      </c>
      <c r="C33" s="63" t="s">
        <v>40</v>
      </c>
      <c r="D33" s="129">
        <v>9.0216E8</v>
      </c>
      <c r="E33" s="44">
        <f t="shared" si="1"/>
        <v>4095806400</v>
      </c>
      <c r="F33" s="45">
        <v>6.0E8</v>
      </c>
      <c r="G33" s="46">
        <f t="shared" si="2"/>
        <v>6.826344</v>
      </c>
      <c r="H33" s="81">
        <v>10.9</v>
      </c>
      <c r="I33" s="48">
        <f t="shared" si="3"/>
        <v>-0.3737299083</v>
      </c>
      <c r="J33" s="66">
        <v>0.149</v>
      </c>
      <c r="K33" s="82">
        <v>-2.38</v>
      </c>
      <c r="L33" s="51">
        <f t="shared" si="4"/>
        <v>0.6650704975</v>
      </c>
      <c r="M33" s="67">
        <v>0.55</v>
      </c>
      <c r="N33" s="51">
        <f t="shared" si="5"/>
        <v>0.3657887736</v>
      </c>
      <c r="O33" s="53">
        <f t="shared" si="6"/>
        <v>0.08057021445</v>
      </c>
      <c r="P33" s="68">
        <f>IFERROR(__xludf.DUMMYFUNCTION("GOOGLEFINANCE(""BVMF:GRND3"")"),4.54)</f>
        <v>4.54</v>
      </c>
      <c r="Q33" s="51">
        <f>5</f>
        <v>5</v>
      </c>
      <c r="R33" s="56">
        <f t="shared" si="7"/>
        <v>0.092</v>
      </c>
      <c r="S33" s="80" t="s">
        <v>36</v>
      </c>
      <c r="T33" s="130" t="s">
        <v>124</v>
      </c>
      <c r="U33" s="58">
        <v>46091.0</v>
      </c>
    </row>
    <row r="34" ht="15.75" customHeight="1">
      <c r="A34" s="142" t="s">
        <v>116</v>
      </c>
      <c r="B34" s="143" t="s">
        <v>125</v>
      </c>
      <c r="C34" s="144" t="s">
        <v>49</v>
      </c>
      <c r="D34" s="112">
        <f>7470968456/2</f>
        <v>3735484228</v>
      </c>
      <c r="E34" s="26">
        <f t="shared" si="1"/>
        <v>112886333370</v>
      </c>
      <c r="F34" s="27">
        <v>1.74E10</v>
      </c>
      <c r="G34" s="28">
        <f t="shared" si="2"/>
        <v>6.487720309</v>
      </c>
      <c r="H34" s="29">
        <v>10.2</v>
      </c>
      <c r="I34" s="30">
        <f t="shared" si="3"/>
        <v>-0.3639489894</v>
      </c>
      <c r="J34" s="31">
        <v>-0.015</v>
      </c>
      <c r="K34" s="145">
        <v>0.0</v>
      </c>
      <c r="L34" s="33">
        <f t="shared" si="4"/>
        <v>4.658030643</v>
      </c>
      <c r="M34" s="146">
        <v>0.5</v>
      </c>
      <c r="N34" s="147">
        <f t="shared" si="5"/>
        <v>2.329015321</v>
      </c>
      <c r="O34" s="35">
        <f t="shared" si="6"/>
        <v>0.07706867377</v>
      </c>
      <c r="P34" s="148">
        <f>IFERROR(__xludf.DUMMYFUNCTION("GOOGLEFINANCE(""BVMF:SANB11"")"),30.22)</f>
        <v>30.22</v>
      </c>
      <c r="Q34" s="147">
        <f>N34/0.07</f>
        <v>33.27164745</v>
      </c>
      <c r="R34" s="38">
        <f t="shared" si="7"/>
        <v>0.09171915679</v>
      </c>
      <c r="S34" s="141" t="s">
        <v>31</v>
      </c>
      <c r="T34" s="24" t="s">
        <v>118</v>
      </c>
      <c r="U34" s="39">
        <v>46091.0</v>
      </c>
    </row>
    <row r="35" ht="15.75" customHeight="1">
      <c r="A35" s="61" t="s">
        <v>126</v>
      </c>
      <c r="B35" s="62" t="s">
        <v>127</v>
      </c>
      <c r="C35" s="63" t="s">
        <v>128</v>
      </c>
      <c r="D35" s="129">
        <v>1.35539E8</v>
      </c>
      <c r="E35" s="44">
        <f t="shared" si="1"/>
        <v>4667963160</v>
      </c>
      <c r="F35" s="45">
        <v>6.3E8</v>
      </c>
      <c r="G35" s="46">
        <f t="shared" si="2"/>
        <v>7.409465333</v>
      </c>
      <c r="H35" s="65">
        <v>11.2</v>
      </c>
      <c r="I35" s="48">
        <f t="shared" si="3"/>
        <v>-0.3384405952</v>
      </c>
      <c r="J35" s="66">
        <v>0.345</v>
      </c>
      <c r="K35" s="50">
        <v>0.87</v>
      </c>
      <c r="L35" s="51">
        <f t="shared" si="4"/>
        <v>4.648108662</v>
      </c>
      <c r="M35" s="67">
        <v>0.65</v>
      </c>
      <c r="N35" s="51">
        <f t="shared" si="5"/>
        <v>3.021270631</v>
      </c>
      <c r="O35" s="53">
        <f t="shared" si="6"/>
        <v>0.08772562807</v>
      </c>
      <c r="P35" s="111">
        <f>IFERROR(__xludf.DUMMYFUNCTION("GOOGLEFINANCE(""BVMF:LEVE3"")"),34.44)</f>
        <v>34.44</v>
      </c>
      <c r="Q35" s="55">
        <f>N35/0.08</f>
        <v>37.76588288</v>
      </c>
      <c r="R35" s="56">
        <f t="shared" si="7"/>
        <v>0.08806580513</v>
      </c>
      <c r="S35" s="80" t="s">
        <v>75</v>
      </c>
      <c r="T35" s="80" t="s">
        <v>129</v>
      </c>
      <c r="U35" s="58">
        <v>46091.0</v>
      </c>
    </row>
    <row r="36" ht="15.75" customHeight="1">
      <c r="A36" s="97" t="s">
        <v>59</v>
      </c>
      <c r="B36" s="98" t="s">
        <v>130</v>
      </c>
      <c r="C36" s="99" t="s">
        <v>61</v>
      </c>
      <c r="D36" s="100">
        <v>1.241439543E9</v>
      </c>
      <c r="E36" s="26">
        <f t="shared" si="1"/>
        <v>7312078908</v>
      </c>
      <c r="F36" s="27">
        <v>1.2E9</v>
      </c>
      <c r="G36" s="28">
        <f t="shared" si="2"/>
        <v>6.09339909</v>
      </c>
      <c r="H36" s="149">
        <v>9.7</v>
      </c>
      <c r="I36" s="30">
        <f t="shared" si="3"/>
        <v>-0.3718145268</v>
      </c>
      <c r="J36" s="140">
        <v>0.682</v>
      </c>
      <c r="K36" s="60">
        <v>0.85</v>
      </c>
      <c r="L36" s="33">
        <f t="shared" si="4"/>
        <v>0.9666197656</v>
      </c>
      <c r="M36" s="34">
        <v>0.5</v>
      </c>
      <c r="N36" s="33">
        <f t="shared" si="5"/>
        <v>0.4833098828</v>
      </c>
      <c r="O36" s="35">
        <f t="shared" si="6"/>
        <v>0.08205600726</v>
      </c>
      <c r="P36" s="104">
        <f>IFERROR(__xludf.DUMMYFUNCTION("GOOGLEFINANCE(""BVMF:POMO4"")"),5.89)</f>
        <v>5.89</v>
      </c>
      <c r="Q36" s="33">
        <f>N36/0.075</f>
        <v>6.44413177</v>
      </c>
      <c r="R36" s="38">
        <f t="shared" si="7"/>
        <v>0.08599013647</v>
      </c>
      <c r="S36" s="24" t="s">
        <v>31</v>
      </c>
      <c r="T36" s="105" t="s">
        <v>62</v>
      </c>
      <c r="U36" s="39">
        <v>46091.0</v>
      </c>
    </row>
    <row r="37" ht="15.75" customHeight="1">
      <c r="A37" s="61" t="s">
        <v>73</v>
      </c>
      <c r="B37" s="62" t="s">
        <v>131</v>
      </c>
      <c r="C37" s="63" t="s">
        <v>49</v>
      </c>
      <c r="D37" s="150">
        <v>1.05970127E10</v>
      </c>
      <c r="E37" s="44">
        <f t="shared" si="1"/>
        <v>201237271173</v>
      </c>
      <c r="F37" s="45">
        <v>2.8E10</v>
      </c>
      <c r="G37" s="46">
        <f t="shared" si="2"/>
        <v>7.187045399</v>
      </c>
      <c r="H37" s="65">
        <v>10.1</v>
      </c>
      <c r="I37" s="48">
        <f t="shared" si="3"/>
        <v>-0.2884113466</v>
      </c>
      <c r="J37" s="110">
        <v>0.0118</v>
      </c>
      <c r="K37" s="82">
        <v>0.0</v>
      </c>
      <c r="L37" s="51">
        <f t="shared" si="4"/>
        <v>2.642254076</v>
      </c>
      <c r="M37" s="67">
        <v>0.55</v>
      </c>
      <c r="N37" s="51">
        <f t="shared" si="5"/>
        <v>1.453239742</v>
      </c>
      <c r="O37" s="53">
        <f t="shared" si="6"/>
        <v>0.07652657935</v>
      </c>
      <c r="P37" s="111">
        <f>IFERROR(__xludf.DUMMYFUNCTION("GOOGLEFINANCE(""BVMF:BBDC4"")"),18.99)</f>
        <v>18.99</v>
      </c>
      <c r="Q37" s="51">
        <f>N37/0.07</f>
        <v>20.76056774</v>
      </c>
      <c r="R37" s="56">
        <f t="shared" si="7"/>
        <v>0.08528513103</v>
      </c>
      <c r="S37" s="80" t="s">
        <v>75</v>
      </c>
      <c r="T37" s="80" t="s">
        <v>76</v>
      </c>
      <c r="U37" s="58">
        <v>46091.0</v>
      </c>
    </row>
    <row r="38" ht="15.75" customHeight="1">
      <c r="A38" s="22" t="s">
        <v>132</v>
      </c>
      <c r="B38" s="23" t="s">
        <v>133</v>
      </c>
      <c r="C38" s="108" t="s">
        <v>65</v>
      </c>
      <c r="D38" s="59">
        <v>5.450929E8</v>
      </c>
      <c r="E38" s="26">
        <f t="shared" si="1"/>
        <v>7195226280</v>
      </c>
      <c r="F38" s="27">
        <v>5.95E8</v>
      </c>
      <c r="G38" s="28">
        <f t="shared" si="2"/>
        <v>12.09281728</v>
      </c>
      <c r="H38" s="29">
        <v>19.4</v>
      </c>
      <c r="I38" s="30">
        <f t="shared" si="3"/>
        <v>-0.3766589032</v>
      </c>
      <c r="J38" s="31">
        <v>0.1</v>
      </c>
      <c r="K38" s="60">
        <v>-0.64</v>
      </c>
      <c r="L38" s="33">
        <f t="shared" si="4"/>
        <v>1.091557054</v>
      </c>
      <c r="M38" s="109">
        <v>0.95</v>
      </c>
      <c r="N38" s="33">
        <f t="shared" si="5"/>
        <v>1.036979201</v>
      </c>
      <c r="O38" s="35">
        <f t="shared" si="6"/>
        <v>0.07855903039</v>
      </c>
      <c r="P38" s="151">
        <f>IFERROR(__xludf.DUMMYFUNCTION("GOOGLEFINANCE(""BVMF:ODPV3"")"),13.2)</f>
        <v>13.2</v>
      </c>
      <c r="Q38" s="37">
        <v>14.4</v>
      </c>
      <c r="R38" s="38">
        <f t="shared" si="7"/>
        <v>0.08333333333</v>
      </c>
      <c r="S38" s="152" t="s">
        <v>134</v>
      </c>
      <c r="T38" s="153" t="s">
        <v>135</v>
      </c>
      <c r="U38" s="39">
        <v>46091.0</v>
      </c>
    </row>
    <row r="39" ht="15.75" customHeight="1">
      <c r="A39" s="40" t="s">
        <v>136</v>
      </c>
      <c r="B39" s="41" t="s">
        <v>137</v>
      </c>
      <c r="C39" s="106" t="s">
        <v>49</v>
      </c>
      <c r="D39" s="43">
        <v>1.16426304E10</v>
      </c>
      <c r="E39" s="44">
        <f>D39*P39/3</f>
        <v>213875120448</v>
      </c>
      <c r="F39" s="45">
        <v>2.0E10</v>
      </c>
      <c r="G39" s="46">
        <f t="shared" si="2"/>
        <v>10.69375602</v>
      </c>
      <c r="H39" s="47">
        <v>17.4</v>
      </c>
      <c r="I39" s="48">
        <f t="shared" si="3"/>
        <v>-0.3854163206</v>
      </c>
      <c r="J39" s="49">
        <v>0.1966</v>
      </c>
      <c r="K39" s="82">
        <v>0.0</v>
      </c>
      <c r="L39" s="51">
        <f>F39*3/D39</f>
        <v>5.153474596</v>
      </c>
      <c r="M39" s="52">
        <v>0.3</v>
      </c>
      <c r="N39" s="51">
        <f t="shared" si="5"/>
        <v>1.546042379</v>
      </c>
      <c r="O39" s="53">
        <f t="shared" si="6"/>
        <v>0.02805375393</v>
      </c>
      <c r="P39" s="54">
        <f>IFERROR(__xludf.DUMMYFUNCTION("GOOGLEFINANCE(""BVMF:BPAC11"")"),55.11)</f>
        <v>55.11</v>
      </c>
      <c r="Q39" s="107">
        <v>60.0</v>
      </c>
      <c r="R39" s="56">
        <f t="shared" si="7"/>
        <v>0.0815</v>
      </c>
      <c r="S39" s="42" t="s">
        <v>36</v>
      </c>
      <c r="T39" s="57" t="s">
        <v>138</v>
      </c>
      <c r="U39" s="58">
        <v>46091.0</v>
      </c>
    </row>
    <row r="40" ht="15.75" customHeight="1">
      <c r="A40" s="132" t="s">
        <v>139</v>
      </c>
      <c r="B40" s="133" t="s">
        <v>140</v>
      </c>
      <c r="C40" s="134" t="s">
        <v>141</v>
      </c>
      <c r="D40" s="100">
        <v>8.699914E7</v>
      </c>
      <c r="E40" s="26">
        <f t="shared" ref="E40:E93" si="8">D40*P40</f>
        <v>2289817365</v>
      </c>
      <c r="F40" s="27">
        <v>3.0E8</v>
      </c>
      <c r="G40" s="28">
        <f t="shared" si="2"/>
        <v>7.632724549</v>
      </c>
      <c r="H40" s="101">
        <v>8.6</v>
      </c>
      <c r="I40" s="30">
        <f t="shared" si="3"/>
        <v>-0.1124738896</v>
      </c>
      <c r="J40" s="135">
        <v>0.2197</v>
      </c>
      <c r="K40" s="32">
        <v>0.7</v>
      </c>
      <c r="L40" s="33">
        <f t="shared" ref="L40:L93" si="9">F40/D40</f>
        <v>3.448309949</v>
      </c>
      <c r="M40" s="136">
        <v>0.63</v>
      </c>
      <c r="N40" s="33">
        <f t="shared" si="5"/>
        <v>2.172435268</v>
      </c>
      <c r="O40" s="35">
        <f t="shared" si="6"/>
        <v>0.08253933388</v>
      </c>
      <c r="P40" s="154">
        <f>IFERROR(__xludf.DUMMYFUNCTION("GOOGLEFINANCE(""BVMF:LOGG3"")"),26.32)</f>
        <v>26.32</v>
      </c>
      <c r="Q40" s="137">
        <v>28.64</v>
      </c>
      <c r="R40" s="38">
        <f t="shared" si="7"/>
        <v>0.08100558659</v>
      </c>
      <c r="S40" s="24" t="s">
        <v>31</v>
      </c>
      <c r="T40" s="139" t="s">
        <v>121</v>
      </c>
      <c r="U40" s="39">
        <v>46091.0</v>
      </c>
    </row>
    <row r="41" ht="15.75" customHeight="1">
      <c r="A41" s="40" t="s">
        <v>142</v>
      </c>
      <c r="B41" s="41" t="s">
        <v>143</v>
      </c>
      <c r="C41" s="106" t="s">
        <v>144</v>
      </c>
      <c r="D41" s="43">
        <v>3.35383253E8</v>
      </c>
      <c r="E41" s="44">
        <f t="shared" si="8"/>
        <v>7354954738</v>
      </c>
      <c r="F41" s="45">
        <v>8.0E8</v>
      </c>
      <c r="G41" s="46">
        <f t="shared" si="2"/>
        <v>9.193693423</v>
      </c>
      <c r="H41" s="47">
        <v>17.5</v>
      </c>
      <c r="I41" s="48">
        <f t="shared" si="3"/>
        <v>-0.4746460901</v>
      </c>
      <c r="J41" s="66">
        <v>0.055</v>
      </c>
      <c r="K41" s="50">
        <v>-0.5</v>
      </c>
      <c r="L41" s="51">
        <f t="shared" si="9"/>
        <v>2.385330791</v>
      </c>
      <c r="M41" s="67">
        <v>0.8</v>
      </c>
      <c r="N41" s="51">
        <f t="shared" si="5"/>
        <v>1.908264632</v>
      </c>
      <c r="O41" s="53">
        <f t="shared" si="6"/>
        <v>0.08701617111</v>
      </c>
      <c r="P41" s="111">
        <f>IFERROR(__xludf.DUMMYFUNCTION("GOOGLEFINANCE(""BVMF:MDIA3"")"),21.93)</f>
        <v>21.93</v>
      </c>
      <c r="Q41" s="131">
        <f>N41/0.08</f>
        <v>23.85330791</v>
      </c>
      <c r="R41" s="56">
        <f t="shared" si="7"/>
        <v>0.08063065771</v>
      </c>
      <c r="S41" s="42" t="s">
        <v>41</v>
      </c>
      <c r="T41" s="57" t="s">
        <v>42</v>
      </c>
      <c r="U41" s="58">
        <v>46091.0</v>
      </c>
    </row>
    <row r="42" ht="15.75" customHeight="1">
      <c r="A42" s="22" t="s">
        <v>145</v>
      </c>
      <c r="B42" s="23" t="s">
        <v>146</v>
      </c>
      <c r="C42" s="108" t="s">
        <v>49</v>
      </c>
      <c r="D42" s="59">
        <v>5.6058E7</v>
      </c>
      <c r="E42" s="26">
        <f t="shared" si="8"/>
        <v>4690372860</v>
      </c>
      <c r="F42" s="27">
        <v>9.0E8</v>
      </c>
      <c r="G42" s="28">
        <f t="shared" si="2"/>
        <v>5.2115254</v>
      </c>
      <c r="H42" s="84">
        <v>4.9</v>
      </c>
      <c r="I42" s="30">
        <f t="shared" si="3"/>
        <v>0.06357661224</v>
      </c>
      <c r="J42" s="31">
        <v>0.359</v>
      </c>
      <c r="K42" s="60">
        <v>0.0</v>
      </c>
      <c r="L42" s="33">
        <f t="shared" si="9"/>
        <v>16.05480039</v>
      </c>
      <c r="M42" s="34">
        <v>0.35</v>
      </c>
      <c r="N42" s="33">
        <f t="shared" si="5"/>
        <v>5.619180135</v>
      </c>
      <c r="O42" s="35">
        <f t="shared" si="6"/>
        <v>0.06715883991</v>
      </c>
      <c r="P42" s="36">
        <f>IFERROR(__xludf.DUMMYFUNCTION("GOOGLEFINANCE(""BVMF:BAZA3"")"),83.67)</f>
        <v>83.67</v>
      </c>
      <c r="Q42" s="37">
        <v>90.94</v>
      </c>
      <c r="R42" s="38">
        <f t="shared" si="7"/>
        <v>0.07994281944</v>
      </c>
      <c r="S42" s="24" t="s">
        <v>111</v>
      </c>
      <c r="T42" s="24" t="s">
        <v>112</v>
      </c>
      <c r="U42" s="39">
        <v>46091.0</v>
      </c>
    </row>
    <row r="43" ht="15.75" customHeight="1">
      <c r="A43" s="155" t="s">
        <v>116</v>
      </c>
      <c r="B43" s="156" t="s">
        <v>147</v>
      </c>
      <c r="C43" s="157" t="s">
        <v>49</v>
      </c>
      <c r="D43" s="64">
        <v>7.470968456E9</v>
      </c>
      <c r="E43" s="44">
        <f t="shared" si="8"/>
        <v>114604656115</v>
      </c>
      <c r="F43" s="45">
        <v>1.74E10</v>
      </c>
      <c r="G43" s="46">
        <f t="shared" si="2"/>
        <v>6.586474489</v>
      </c>
      <c r="H43" s="65">
        <v>10.2</v>
      </c>
      <c r="I43" s="48">
        <f t="shared" si="3"/>
        <v>-0.3542672069</v>
      </c>
      <c r="J43" s="66">
        <v>-0.015</v>
      </c>
      <c r="K43" s="158">
        <v>0.0</v>
      </c>
      <c r="L43" s="51">
        <f t="shared" si="9"/>
        <v>2.329015321</v>
      </c>
      <c r="M43" s="159">
        <v>0.5</v>
      </c>
      <c r="N43" s="160">
        <f t="shared" si="5"/>
        <v>1.164507661</v>
      </c>
      <c r="O43" s="53">
        <f t="shared" si="6"/>
        <v>0.07591314607</v>
      </c>
      <c r="P43" s="68">
        <f>IFERROR(__xludf.DUMMYFUNCTION("GOOGLEFINANCE(""BVMF:SANB4"")"),15.34)</f>
        <v>15.34</v>
      </c>
      <c r="Q43" s="160">
        <f>N43/0.07</f>
        <v>16.63582372</v>
      </c>
      <c r="R43" s="56">
        <f t="shared" si="7"/>
        <v>0.07789357149</v>
      </c>
      <c r="S43" s="130" t="s">
        <v>31</v>
      </c>
      <c r="T43" s="80" t="s">
        <v>118</v>
      </c>
      <c r="U43" s="58">
        <v>46091.0</v>
      </c>
    </row>
    <row r="44" ht="15.75" customHeight="1">
      <c r="A44" s="132" t="s">
        <v>148</v>
      </c>
      <c r="B44" s="133" t="s">
        <v>149</v>
      </c>
      <c r="C44" s="134" t="s">
        <v>25</v>
      </c>
      <c r="D44" s="100">
        <v>1.236099235E9</v>
      </c>
      <c r="E44" s="26">
        <f t="shared" si="8"/>
        <v>66007699149</v>
      </c>
      <c r="F44" s="27">
        <v>1.0E10</v>
      </c>
      <c r="G44" s="28">
        <f t="shared" si="2"/>
        <v>6.600769915</v>
      </c>
      <c r="H44" s="101">
        <v>12.66</v>
      </c>
      <c r="I44" s="30">
        <f t="shared" si="3"/>
        <v>-0.478612171</v>
      </c>
      <c r="J44" s="135">
        <v>0.1094</v>
      </c>
      <c r="K44" s="32">
        <v>3.3</v>
      </c>
      <c r="L44" s="33">
        <f t="shared" si="9"/>
        <v>8.089965366</v>
      </c>
      <c r="M44" s="136">
        <v>0.3</v>
      </c>
      <c r="N44" s="33">
        <f t="shared" si="5"/>
        <v>2.42698961</v>
      </c>
      <c r="O44" s="35">
        <f t="shared" si="6"/>
        <v>0.04544924363</v>
      </c>
      <c r="P44" s="104">
        <f>IFERROR(__xludf.DUMMYFUNCTION("GOOGLEFINANCE(""BVMF:SUZB3"")"),53.4)</f>
        <v>53.4</v>
      </c>
      <c r="Q44" s="137">
        <v>57.7</v>
      </c>
      <c r="R44" s="38">
        <f t="shared" si="7"/>
        <v>0.07452339688</v>
      </c>
      <c r="S44" s="138" t="s">
        <v>75</v>
      </c>
      <c r="T44" s="139" t="s">
        <v>150</v>
      </c>
      <c r="U44" s="39">
        <v>46091.0</v>
      </c>
    </row>
    <row r="45" ht="15.75" customHeight="1">
      <c r="A45" s="61" t="s">
        <v>151</v>
      </c>
      <c r="B45" s="62" t="s">
        <v>152</v>
      </c>
      <c r="C45" s="63" t="s">
        <v>49</v>
      </c>
      <c r="D45" s="64">
        <v>2.58440362E8</v>
      </c>
      <c r="E45" s="44">
        <f t="shared" si="8"/>
        <v>2990154988</v>
      </c>
      <c r="F45" s="45">
        <v>4.5E8</v>
      </c>
      <c r="G45" s="46">
        <f t="shared" si="2"/>
        <v>6.644788863</v>
      </c>
      <c r="H45" s="65">
        <v>7.2</v>
      </c>
      <c r="I45" s="48">
        <f t="shared" si="3"/>
        <v>-0.07711265792</v>
      </c>
      <c r="J45" s="110">
        <v>0.2986</v>
      </c>
      <c r="K45" s="82">
        <v>0.0</v>
      </c>
      <c r="L45" s="51">
        <f t="shared" si="9"/>
        <v>1.741214091</v>
      </c>
      <c r="M45" s="67">
        <v>0.45</v>
      </c>
      <c r="N45" s="51">
        <f t="shared" si="5"/>
        <v>0.783546341</v>
      </c>
      <c r="O45" s="53">
        <f t="shared" si="6"/>
        <v>0.06772224209</v>
      </c>
      <c r="P45" s="111">
        <f>IFERROR(__xludf.DUMMYFUNCTION("GOOGLEFINANCE(""BVMF:PINE4"")"),11.57)</f>
        <v>11.57</v>
      </c>
      <c r="Q45" s="55">
        <v>12.5</v>
      </c>
      <c r="R45" s="56">
        <f t="shared" si="7"/>
        <v>0.0744</v>
      </c>
      <c r="S45" s="80" t="s">
        <v>31</v>
      </c>
      <c r="T45" s="80" t="s">
        <v>153</v>
      </c>
      <c r="U45" s="58">
        <v>46091.0</v>
      </c>
    </row>
    <row r="46" ht="15.75" customHeight="1">
      <c r="A46" s="22" t="s">
        <v>154</v>
      </c>
      <c r="B46" s="23" t="s">
        <v>155</v>
      </c>
      <c r="C46" s="108" t="s">
        <v>45</v>
      </c>
      <c r="D46" s="113">
        <v>3.388676E8</v>
      </c>
      <c r="E46" s="26">
        <f t="shared" si="8"/>
        <v>2511008916</v>
      </c>
      <c r="F46" s="27">
        <v>2.0E8</v>
      </c>
      <c r="G46" s="28">
        <f t="shared" si="2"/>
        <v>12.55504458</v>
      </c>
      <c r="H46" s="29">
        <v>9.4</v>
      </c>
      <c r="I46" s="30">
        <f t="shared" si="3"/>
        <v>0.3356430404</v>
      </c>
      <c r="J46" s="31">
        <v>0.313</v>
      </c>
      <c r="K46" s="60">
        <v>-1.33</v>
      </c>
      <c r="L46" s="33">
        <f t="shared" si="9"/>
        <v>0.5902010107</v>
      </c>
      <c r="M46" s="34">
        <v>0.7</v>
      </c>
      <c r="N46" s="33">
        <f t="shared" si="5"/>
        <v>0.4131407075</v>
      </c>
      <c r="O46" s="35">
        <f t="shared" si="6"/>
        <v>0.05575448144</v>
      </c>
      <c r="P46" s="36">
        <f>IFERROR(__xludf.DUMMYFUNCTION("GOOGLEFINANCE(""BVMF:FESA4"")"),7.41)</f>
        <v>7.41</v>
      </c>
      <c r="Q46" s="37">
        <v>8.0</v>
      </c>
      <c r="R46" s="38">
        <f t="shared" si="7"/>
        <v>0.07375</v>
      </c>
      <c r="S46" s="24" t="s">
        <v>36</v>
      </c>
      <c r="T46" s="24" t="s">
        <v>156</v>
      </c>
      <c r="U46" s="39">
        <v>46091.0</v>
      </c>
    </row>
    <row r="47" ht="15.75" customHeight="1">
      <c r="A47" s="61" t="s">
        <v>157</v>
      </c>
      <c r="B47" s="62" t="s">
        <v>158</v>
      </c>
      <c r="C47" s="63" t="s">
        <v>35</v>
      </c>
      <c r="D47" s="129">
        <v>4.437636744E9</v>
      </c>
      <c r="E47" s="44">
        <f t="shared" si="8"/>
        <v>347466957055</v>
      </c>
      <c r="F47" s="45">
        <v>5.3E10</v>
      </c>
      <c r="G47" s="46">
        <f t="shared" si="2"/>
        <v>6.555980322</v>
      </c>
      <c r="H47" s="65">
        <v>10.3</v>
      </c>
      <c r="I47" s="48">
        <f t="shared" si="3"/>
        <v>-0.3634970561</v>
      </c>
      <c r="J47" s="66">
        <v>0.023</v>
      </c>
      <c r="K47" s="82">
        <v>0.99</v>
      </c>
      <c r="L47" s="51">
        <f t="shared" si="9"/>
        <v>11.94329393</v>
      </c>
      <c r="M47" s="67">
        <v>0.53</v>
      </c>
      <c r="N47" s="51">
        <f t="shared" si="5"/>
        <v>6.329945784</v>
      </c>
      <c r="O47" s="53">
        <f t="shared" si="6"/>
        <v>0.08084221947</v>
      </c>
      <c r="P47" s="161">
        <f>IFERROR(__xludf.DUMMYFUNCTION("GOOGLEFINANCE(""BVMF:VALE3"")"),78.3)</f>
        <v>78.3</v>
      </c>
      <c r="Q47" s="55">
        <f>N47/0.075</f>
        <v>84.39927712</v>
      </c>
      <c r="R47" s="56">
        <f t="shared" si="7"/>
        <v>0.07226693559</v>
      </c>
      <c r="S47" s="80" t="s">
        <v>36</v>
      </c>
      <c r="T47" s="80" t="s">
        <v>159</v>
      </c>
      <c r="U47" s="58">
        <v>46091.0</v>
      </c>
    </row>
    <row r="48" ht="15.75" customHeight="1">
      <c r="A48" s="22" t="s">
        <v>160</v>
      </c>
      <c r="B48" s="23" t="s">
        <v>161</v>
      </c>
      <c r="C48" s="108" t="s">
        <v>61</v>
      </c>
      <c r="D48" s="59">
        <v>9.3171E7</v>
      </c>
      <c r="E48" s="26">
        <f t="shared" si="8"/>
        <v>736050900</v>
      </c>
      <c r="F48" s="27">
        <v>9.0E7</v>
      </c>
      <c r="G48" s="28">
        <f t="shared" si="2"/>
        <v>8.178343333</v>
      </c>
      <c r="H48" s="29">
        <v>8.7</v>
      </c>
      <c r="I48" s="30">
        <f t="shared" si="3"/>
        <v>-0.0599605364</v>
      </c>
      <c r="J48" s="31">
        <v>-0.12</v>
      </c>
      <c r="K48" s="60">
        <v>3.04</v>
      </c>
      <c r="L48" s="33">
        <f t="shared" si="9"/>
        <v>0.9659658048</v>
      </c>
      <c r="M48" s="34">
        <v>0.5</v>
      </c>
      <c r="N48" s="33">
        <f t="shared" si="5"/>
        <v>0.4829829024</v>
      </c>
      <c r="O48" s="35">
        <f t="shared" si="6"/>
        <v>0.06113707625</v>
      </c>
      <c r="P48" s="151">
        <f>IFERROR(__xludf.DUMMYFUNCTION("GOOGLEFINANCE(""BVMF:ROMI3"")"),7.9)</f>
        <v>7.9</v>
      </c>
      <c r="Q48" s="37">
        <v>8.5</v>
      </c>
      <c r="R48" s="38">
        <f t="shared" si="7"/>
        <v>0.07058823529</v>
      </c>
      <c r="S48" s="24" t="s">
        <v>31</v>
      </c>
      <c r="T48" s="24" t="s">
        <v>162</v>
      </c>
      <c r="U48" s="39">
        <v>46091.0</v>
      </c>
    </row>
    <row r="49" ht="15.75" customHeight="1">
      <c r="A49" s="61" t="s">
        <v>163</v>
      </c>
      <c r="B49" s="62" t="s">
        <v>164</v>
      </c>
      <c r="C49" s="63" t="s">
        <v>49</v>
      </c>
      <c r="D49" s="64">
        <v>2.44657E8</v>
      </c>
      <c r="E49" s="44">
        <f t="shared" si="8"/>
        <v>6295024610</v>
      </c>
      <c r="F49" s="45">
        <v>1.1E9</v>
      </c>
      <c r="G49" s="46">
        <f t="shared" si="2"/>
        <v>5.722749645</v>
      </c>
      <c r="H49" s="162">
        <v>6.7</v>
      </c>
      <c r="I49" s="48">
        <f t="shared" si="3"/>
        <v>-0.1458582619</v>
      </c>
      <c r="J49" s="163">
        <v>0.275</v>
      </c>
      <c r="K49" s="82">
        <v>0.0</v>
      </c>
      <c r="L49" s="51">
        <f t="shared" si="9"/>
        <v>4.496090445</v>
      </c>
      <c r="M49" s="67">
        <v>0.5</v>
      </c>
      <c r="N49" s="51">
        <f t="shared" si="5"/>
        <v>2.248045222</v>
      </c>
      <c r="O49" s="53">
        <f t="shared" si="6"/>
        <v>0.08737058774</v>
      </c>
      <c r="P49" s="161">
        <f>IFERROR(__xludf.DUMMYFUNCTION("GOOGLEFINANCE(""BVMF:ABCB4"")"),25.73)</f>
        <v>25.73</v>
      </c>
      <c r="Q49" s="55">
        <v>27.63</v>
      </c>
      <c r="R49" s="56">
        <f t="shared" si="7"/>
        <v>0.06876583424</v>
      </c>
      <c r="S49" s="80" t="s">
        <v>75</v>
      </c>
      <c r="T49" s="80" t="s">
        <v>76</v>
      </c>
      <c r="U49" s="58">
        <v>46091.0</v>
      </c>
    </row>
    <row r="50" ht="15.75" customHeight="1">
      <c r="A50" s="22" t="s">
        <v>165</v>
      </c>
      <c r="B50" s="23" t="s">
        <v>166</v>
      </c>
      <c r="C50" s="108" t="s">
        <v>30</v>
      </c>
      <c r="D50" s="59">
        <f>314987000/3</f>
        <v>104995666.7</v>
      </c>
      <c r="E50" s="26">
        <f t="shared" si="8"/>
        <v>1974968490</v>
      </c>
      <c r="F50" s="27">
        <v>2.1E8</v>
      </c>
      <c r="G50" s="28">
        <f t="shared" si="2"/>
        <v>9.404611857</v>
      </c>
      <c r="H50" s="29">
        <v>9.1</v>
      </c>
      <c r="I50" s="30">
        <f t="shared" si="3"/>
        <v>0.03347383046</v>
      </c>
      <c r="J50" s="140">
        <v>0.2</v>
      </c>
      <c r="K50" s="60">
        <v>0.0</v>
      </c>
      <c r="L50" s="33">
        <f t="shared" si="9"/>
        <v>2.000082543</v>
      </c>
      <c r="M50" s="34">
        <v>0.8</v>
      </c>
      <c r="N50" s="33">
        <f t="shared" si="5"/>
        <v>1.600066034</v>
      </c>
      <c r="O50" s="35">
        <f t="shared" si="6"/>
        <v>0.0850646483</v>
      </c>
      <c r="P50" s="164">
        <f>IFERROR(__xludf.DUMMYFUNCTION("GOOGLEFINANCE(""BVMF:BRBI11"")"),18.81)</f>
        <v>18.81</v>
      </c>
      <c r="Q50" s="33">
        <f>N50/0.08</f>
        <v>20.00082543</v>
      </c>
      <c r="R50" s="38">
        <f t="shared" si="7"/>
        <v>0.05953881429</v>
      </c>
      <c r="S50" s="24" t="s">
        <v>31</v>
      </c>
      <c r="T50" s="24" t="s">
        <v>167</v>
      </c>
      <c r="U50" s="39">
        <v>46091.0</v>
      </c>
    </row>
    <row r="51" ht="15.75" customHeight="1">
      <c r="A51" s="40" t="s">
        <v>168</v>
      </c>
      <c r="B51" s="41" t="s">
        <v>169</v>
      </c>
      <c r="C51" s="106" t="s">
        <v>30</v>
      </c>
      <c r="D51" s="43">
        <v>2.48904657E8</v>
      </c>
      <c r="E51" s="44">
        <f t="shared" si="8"/>
        <v>18244711358</v>
      </c>
      <c r="F51" s="45">
        <v>2.76E9</v>
      </c>
      <c r="G51" s="46">
        <f t="shared" si="2"/>
        <v>6.610402666</v>
      </c>
      <c r="H51" s="47">
        <v>21.4</v>
      </c>
      <c r="I51" s="48">
        <f t="shared" si="3"/>
        <v>-0.6911026792</v>
      </c>
      <c r="J51" s="49">
        <v>0.1</v>
      </c>
      <c r="K51" s="50">
        <v>0.0</v>
      </c>
      <c r="L51" s="51">
        <f t="shared" si="9"/>
        <v>11.08858321</v>
      </c>
      <c r="M51" s="52">
        <v>0.7</v>
      </c>
      <c r="N51" s="51">
        <f t="shared" si="5"/>
        <v>7.762008246</v>
      </c>
      <c r="O51" s="53">
        <f t="shared" si="6"/>
        <v>0.1058937005</v>
      </c>
      <c r="P51" s="165">
        <f>IFERROR(__xludf.DUMMYFUNCTION("GOOGLEFINANCE(""BVMF:STOC34"")"),73.3)</f>
        <v>73.3</v>
      </c>
      <c r="Q51" s="55">
        <f>7*L51</f>
        <v>77.62008246</v>
      </c>
      <c r="R51" s="56">
        <f t="shared" si="7"/>
        <v>0.055656762</v>
      </c>
      <c r="S51" s="42" t="s">
        <v>66</v>
      </c>
      <c r="T51" s="57" t="s">
        <v>66</v>
      </c>
      <c r="U51" s="58">
        <v>46094.0</v>
      </c>
    </row>
    <row r="52" ht="15.75" customHeight="1">
      <c r="A52" s="22" t="s">
        <v>170</v>
      </c>
      <c r="B52" s="23" t="s">
        <v>171</v>
      </c>
      <c r="C52" s="108" t="s">
        <v>49</v>
      </c>
      <c r="D52" s="59">
        <v>1.0753776126E10</v>
      </c>
      <c r="E52" s="26">
        <f t="shared" si="8"/>
        <v>441227434450</v>
      </c>
      <c r="F52" s="27">
        <v>5.0E10</v>
      </c>
      <c r="G52" s="28">
        <f t="shared" si="2"/>
        <v>8.824548689</v>
      </c>
      <c r="H52" s="84">
        <v>9.1</v>
      </c>
      <c r="I52" s="30">
        <f t="shared" si="3"/>
        <v>-0.03026937484</v>
      </c>
      <c r="J52" s="31">
        <v>0.238</v>
      </c>
      <c r="K52" s="60">
        <v>0.0</v>
      </c>
      <c r="L52" s="33">
        <f t="shared" si="9"/>
        <v>4.649529562</v>
      </c>
      <c r="M52" s="34">
        <v>0.7</v>
      </c>
      <c r="N52" s="33">
        <f t="shared" si="5"/>
        <v>3.254670693</v>
      </c>
      <c r="O52" s="35">
        <f t="shared" si="6"/>
        <v>0.07932416996</v>
      </c>
      <c r="P52" s="151">
        <f>IFERROR(__xludf.DUMMYFUNCTION("GOOGLEFINANCE(""BVMF:ITUB3"")"),41.03)</f>
        <v>41.03</v>
      </c>
      <c r="Q52" s="33">
        <f>N52/0.075</f>
        <v>43.39560924</v>
      </c>
      <c r="R52" s="38">
        <f t="shared" si="7"/>
        <v>0.05451264046</v>
      </c>
      <c r="S52" s="24" t="s">
        <v>75</v>
      </c>
      <c r="T52" s="24" t="s">
        <v>81</v>
      </c>
      <c r="U52" s="39">
        <v>46091.0</v>
      </c>
    </row>
    <row r="53" ht="15.75" customHeight="1">
      <c r="A53" s="61" t="s">
        <v>172</v>
      </c>
      <c r="B53" s="62" t="s">
        <v>173</v>
      </c>
      <c r="C53" s="63" t="s">
        <v>174</v>
      </c>
      <c r="D53" s="129">
        <v>1.32521E8</v>
      </c>
      <c r="E53" s="44">
        <f t="shared" si="8"/>
        <v>17466267800</v>
      </c>
      <c r="F53" s="45">
        <v>1.6E9</v>
      </c>
      <c r="G53" s="46">
        <f t="shared" si="2"/>
        <v>10.91641738</v>
      </c>
      <c r="H53" s="65">
        <v>11.4</v>
      </c>
      <c r="I53" s="48">
        <f t="shared" si="3"/>
        <v>-0.04241952851</v>
      </c>
      <c r="J53" s="66">
        <v>0.0684</v>
      </c>
      <c r="K53" s="50">
        <v>1.93</v>
      </c>
      <c r="L53" s="51">
        <f t="shared" si="9"/>
        <v>12.07355815</v>
      </c>
      <c r="M53" s="67">
        <v>0.85</v>
      </c>
      <c r="N53" s="51">
        <f t="shared" si="5"/>
        <v>10.26252443</v>
      </c>
      <c r="O53" s="53">
        <f t="shared" si="6"/>
        <v>0.07786437352</v>
      </c>
      <c r="P53" s="161">
        <f>IFERROR(__xludf.DUMMYFUNCTION("GOOGLEFINANCE(""BVMF:CGAS5"")"),131.8)</f>
        <v>131.8</v>
      </c>
      <c r="Q53" s="51">
        <f>N53/0.074</f>
        <v>138.6827626</v>
      </c>
      <c r="R53" s="56">
        <f t="shared" si="7"/>
        <v>0.04962954618</v>
      </c>
      <c r="S53" s="80" t="s">
        <v>36</v>
      </c>
      <c r="T53" s="166" t="s">
        <v>175</v>
      </c>
      <c r="U53" s="58">
        <v>46091.0</v>
      </c>
    </row>
    <row r="54" ht="15.75" customHeight="1">
      <c r="A54" s="22" t="s">
        <v>176</v>
      </c>
      <c r="B54" s="23" t="s">
        <v>177</v>
      </c>
      <c r="C54" s="108" t="s">
        <v>178</v>
      </c>
      <c r="D54" s="113">
        <v>1.12137E10</v>
      </c>
      <c r="E54" s="26">
        <f t="shared" si="8"/>
        <v>147572292000</v>
      </c>
      <c r="F54" s="27">
        <v>1.79E10</v>
      </c>
      <c r="G54" s="28">
        <f t="shared" si="2"/>
        <v>8.244262123</v>
      </c>
      <c r="H54" s="29">
        <v>8.7</v>
      </c>
      <c r="I54" s="30">
        <f t="shared" si="3"/>
        <v>-0.05238366403</v>
      </c>
      <c r="J54" s="31">
        <v>0.164</v>
      </c>
      <c r="K54" s="60">
        <v>0.0</v>
      </c>
      <c r="L54" s="33">
        <f t="shared" si="9"/>
        <v>1.596261716</v>
      </c>
      <c r="M54" s="34">
        <v>0.65</v>
      </c>
      <c r="N54" s="33">
        <f t="shared" si="5"/>
        <v>1.037570115</v>
      </c>
      <c r="O54" s="35">
        <f t="shared" si="6"/>
        <v>0.07884271392</v>
      </c>
      <c r="P54" s="151">
        <f>IFERROR(__xludf.DUMMYFUNCTION("GOOGLEFINANCE(""BVMF:ITSA4"")"),13.16)</f>
        <v>13.16</v>
      </c>
      <c r="Q54" s="33">
        <f>N54/0.075</f>
        <v>13.8342682</v>
      </c>
      <c r="R54" s="38">
        <f t="shared" si="7"/>
        <v>0.04873898582</v>
      </c>
      <c r="S54" s="24" t="s">
        <v>75</v>
      </c>
      <c r="T54" s="24" t="s">
        <v>81</v>
      </c>
      <c r="U54" s="39">
        <v>46091.0</v>
      </c>
    </row>
    <row r="55" ht="15.75" customHeight="1">
      <c r="A55" s="61" t="s">
        <v>179</v>
      </c>
      <c r="B55" s="62" t="s">
        <v>180</v>
      </c>
      <c r="C55" s="63" t="s">
        <v>49</v>
      </c>
      <c r="D55" s="64">
        <v>5.708696148E9</v>
      </c>
      <c r="E55" s="44">
        <f t="shared" si="8"/>
        <v>135924055284</v>
      </c>
      <c r="F55" s="45">
        <v>2.4E10</v>
      </c>
      <c r="G55" s="46">
        <f t="shared" si="2"/>
        <v>5.663502303</v>
      </c>
      <c r="H55" s="65">
        <v>6.4</v>
      </c>
      <c r="I55" s="48">
        <f t="shared" si="3"/>
        <v>-0.1150777651</v>
      </c>
      <c r="J55" s="66">
        <v>0.132</v>
      </c>
      <c r="K55" s="82">
        <v>0.0</v>
      </c>
      <c r="L55" s="51">
        <f t="shared" si="9"/>
        <v>4.204112354</v>
      </c>
      <c r="M55" s="167">
        <v>0.3</v>
      </c>
      <c r="N55" s="51">
        <f t="shared" si="5"/>
        <v>1.261233706</v>
      </c>
      <c r="O55" s="53">
        <f t="shared" si="6"/>
        <v>0.05297075624</v>
      </c>
      <c r="P55" s="161">
        <f>IFERROR(__xludf.DUMMYFUNCTION("GOOGLEFINANCE(""BVMF:BBAS3"")"),23.81)</f>
        <v>23.81</v>
      </c>
      <c r="Q55" s="55">
        <v>25.0</v>
      </c>
      <c r="R55" s="56">
        <f t="shared" si="7"/>
        <v>0.0476</v>
      </c>
      <c r="S55" s="80" t="s">
        <v>134</v>
      </c>
      <c r="T55" s="69" t="s">
        <v>162</v>
      </c>
      <c r="U55" s="58">
        <v>46091.0</v>
      </c>
    </row>
    <row r="56" ht="15.75" customHeight="1">
      <c r="A56" s="22" t="s">
        <v>181</v>
      </c>
      <c r="B56" s="23" t="s">
        <v>182</v>
      </c>
      <c r="C56" s="108" t="s">
        <v>65</v>
      </c>
      <c r="D56" s="59">
        <v>3.0E9</v>
      </c>
      <c r="E56" s="26">
        <f t="shared" si="8"/>
        <v>54420000000</v>
      </c>
      <c r="F56" s="27">
        <v>4.7E9</v>
      </c>
      <c r="G56" s="28">
        <f t="shared" si="2"/>
        <v>11.5787234</v>
      </c>
      <c r="H56" s="29">
        <v>12.4</v>
      </c>
      <c r="I56" s="30">
        <f t="shared" si="3"/>
        <v>-0.06623198353</v>
      </c>
      <c r="J56" s="31">
        <v>0.197</v>
      </c>
      <c r="K56" s="60">
        <v>0.0</v>
      </c>
      <c r="L56" s="33">
        <f t="shared" si="9"/>
        <v>1.566666667</v>
      </c>
      <c r="M56" s="109">
        <v>0.9</v>
      </c>
      <c r="N56" s="33">
        <f t="shared" si="5"/>
        <v>1.41</v>
      </c>
      <c r="O56" s="35">
        <f t="shared" si="6"/>
        <v>0.07772877619</v>
      </c>
      <c r="P56" s="151">
        <f>IFERROR(__xludf.DUMMYFUNCTION("GOOGLEFINANCE(""BVMF:CXSE3"")"),18.14)</f>
        <v>18.14</v>
      </c>
      <c r="Q56" s="33">
        <f>N56/0.075</f>
        <v>18.8</v>
      </c>
      <c r="R56" s="38">
        <f t="shared" si="7"/>
        <v>0.03510638298</v>
      </c>
      <c r="S56" s="24" t="s">
        <v>31</v>
      </c>
      <c r="T56" s="24" t="s">
        <v>183</v>
      </c>
      <c r="U56" s="39">
        <v>46091.0</v>
      </c>
    </row>
    <row r="57" ht="15.75" customHeight="1">
      <c r="A57" s="61" t="s">
        <v>184</v>
      </c>
      <c r="B57" s="62" t="s">
        <v>185</v>
      </c>
      <c r="C57" s="63" t="s">
        <v>53</v>
      </c>
      <c r="D57" s="64">
        <v>4.96621582E8</v>
      </c>
      <c r="E57" s="44">
        <f t="shared" si="8"/>
        <v>8939188476</v>
      </c>
      <c r="F57" s="45">
        <v>8.4E8</v>
      </c>
      <c r="G57" s="46">
        <f t="shared" si="2"/>
        <v>10.64189104</v>
      </c>
      <c r="H57" s="65">
        <v>10.8</v>
      </c>
      <c r="I57" s="48">
        <f t="shared" si="3"/>
        <v>-0.01463971825</v>
      </c>
      <c r="J57" s="66">
        <v>0.084</v>
      </c>
      <c r="K57" s="82">
        <v>2.3</v>
      </c>
      <c r="L57" s="51">
        <f t="shared" si="9"/>
        <v>1.691428706</v>
      </c>
      <c r="M57" s="83">
        <v>0.5</v>
      </c>
      <c r="N57" s="51">
        <f t="shared" si="5"/>
        <v>0.8457143532</v>
      </c>
      <c r="O57" s="53">
        <f t="shared" si="6"/>
        <v>0.04698413073</v>
      </c>
      <c r="P57" s="161">
        <f>IFERROR(__xludf.DUMMYFUNCTION("GOOGLEFINANCE(""BVMF:SLCE3"")"),18.0)</f>
        <v>18</v>
      </c>
      <c r="Q57" s="55">
        <v>18.64</v>
      </c>
      <c r="R57" s="56">
        <f t="shared" si="7"/>
        <v>0.03433476395</v>
      </c>
      <c r="S57" s="80" t="s">
        <v>75</v>
      </c>
      <c r="T57" s="80" t="s">
        <v>96</v>
      </c>
      <c r="U57" s="58">
        <v>46093.0</v>
      </c>
    </row>
    <row r="58" ht="15.75" customHeight="1">
      <c r="A58" s="22" t="s">
        <v>186</v>
      </c>
      <c r="B58" s="23" t="s">
        <v>187</v>
      </c>
      <c r="C58" s="108" t="s">
        <v>188</v>
      </c>
      <c r="D58" s="59">
        <v>1.511205519E9</v>
      </c>
      <c r="E58" s="26">
        <f t="shared" si="8"/>
        <v>11681618662</v>
      </c>
      <c r="F58" s="27">
        <v>1.7E9</v>
      </c>
      <c r="G58" s="28">
        <f t="shared" si="2"/>
        <v>6.871540389</v>
      </c>
      <c r="H58" s="29">
        <v>7.0</v>
      </c>
      <c r="I58" s="30">
        <f t="shared" si="3"/>
        <v>-0.01835137295</v>
      </c>
      <c r="J58" s="31">
        <v>0.178</v>
      </c>
      <c r="K58" s="32">
        <v>1.7</v>
      </c>
      <c r="L58" s="33">
        <f t="shared" si="9"/>
        <v>1.124929719</v>
      </c>
      <c r="M58" s="109">
        <v>0.35</v>
      </c>
      <c r="N58" s="33">
        <f t="shared" si="5"/>
        <v>0.3937254017</v>
      </c>
      <c r="O58" s="35">
        <f t="shared" si="6"/>
        <v>0.05093472208</v>
      </c>
      <c r="P58" s="151">
        <f>IFERROR(__xludf.DUMMYFUNCTION("GOOGLEFINANCE(""BVMF:SAPR4"")"),7.73)</f>
        <v>7.73</v>
      </c>
      <c r="Q58" s="37">
        <v>8.0</v>
      </c>
      <c r="R58" s="38">
        <f t="shared" si="7"/>
        <v>0.03375</v>
      </c>
      <c r="S58" s="24" t="s">
        <v>75</v>
      </c>
      <c r="T58" s="24" t="s">
        <v>189</v>
      </c>
      <c r="U58" s="39">
        <v>46091.0</v>
      </c>
    </row>
    <row r="59" ht="15.75" customHeight="1">
      <c r="A59" s="155" t="s">
        <v>170</v>
      </c>
      <c r="B59" s="156" t="s">
        <v>190</v>
      </c>
      <c r="C59" s="157" t="s">
        <v>49</v>
      </c>
      <c r="D59" s="129">
        <v>1.0753776126E10</v>
      </c>
      <c r="E59" s="44">
        <f t="shared" si="8"/>
        <v>455960107742</v>
      </c>
      <c r="F59" s="45">
        <v>5.0E10</v>
      </c>
      <c r="G59" s="46">
        <f t="shared" si="2"/>
        <v>9.119202155</v>
      </c>
      <c r="H59" s="81">
        <v>10.0</v>
      </c>
      <c r="I59" s="48">
        <f t="shared" si="3"/>
        <v>-0.08807978452</v>
      </c>
      <c r="J59" s="66">
        <v>0.238</v>
      </c>
      <c r="K59" s="158">
        <v>0.0</v>
      </c>
      <c r="L59" s="51">
        <f t="shared" si="9"/>
        <v>4.649529562</v>
      </c>
      <c r="M59" s="168">
        <v>0.65</v>
      </c>
      <c r="N59" s="160">
        <f t="shared" si="5"/>
        <v>3.022194215</v>
      </c>
      <c r="O59" s="53">
        <f t="shared" si="6"/>
        <v>0.07127816545</v>
      </c>
      <c r="P59" s="169">
        <f>IFERROR(__xludf.DUMMYFUNCTION("GOOGLEFINANCE(""BVMF:ITUB4"")"),42.4)</f>
        <v>42.4</v>
      </c>
      <c r="Q59" s="160">
        <f>N59/0.07</f>
        <v>43.17420307</v>
      </c>
      <c r="R59" s="56">
        <f t="shared" si="7"/>
        <v>0.01793207563</v>
      </c>
      <c r="S59" s="130" t="s">
        <v>75</v>
      </c>
      <c r="T59" s="80" t="s">
        <v>81</v>
      </c>
      <c r="U59" s="58">
        <v>46091.0</v>
      </c>
    </row>
    <row r="60" ht="15.75" customHeight="1">
      <c r="A60" s="22" t="s">
        <v>191</v>
      </c>
      <c r="B60" s="23" t="s">
        <v>192</v>
      </c>
      <c r="C60" s="108" t="s">
        <v>178</v>
      </c>
      <c r="D60" s="59">
        <v>3.93097E8</v>
      </c>
      <c r="E60" s="26">
        <f t="shared" si="8"/>
        <v>8687443700</v>
      </c>
      <c r="F60" s="27">
        <v>1.67E9</v>
      </c>
      <c r="G60" s="28">
        <f t="shared" si="2"/>
        <v>5.202062096</v>
      </c>
      <c r="H60" s="29">
        <v>8.7</v>
      </c>
      <c r="I60" s="30">
        <f t="shared" si="3"/>
        <v>-0.4020618281</v>
      </c>
      <c r="J60" s="31">
        <v>-0.059</v>
      </c>
      <c r="K60" s="60">
        <v>-0.64</v>
      </c>
      <c r="L60" s="33">
        <f t="shared" si="9"/>
        <v>4.248315301</v>
      </c>
      <c r="M60" s="34">
        <v>0.45</v>
      </c>
      <c r="N60" s="33">
        <f t="shared" si="5"/>
        <v>1.911741886</v>
      </c>
      <c r="O60" s="35">
        <f t="shared" si="6"/>
        <v>0.08650415772</v>
      </c>
      <c r="P60" s="170">
        <f>IFERROR(__xludf.DUMMYFUNCTION("GOOGLEFINANCE(""BVMF:BRAP4"")"),22.1)</f>
        <v>22.1</v>
      </c>
      <c r="Q60" s="37">
        <f>N60/0.085</f>
        <v>22.49108101</v>
      </c>
      <c r="R60" s="38">
        <f t="shared" si="7"/>
        <v>0.01738827079</v>
      </c>
      <c r="S60" s="24" t="s">
        <v>75</v>
      </c>
      <c r="T60" s="24" t="s">
        <v>193</v>
      </c>
      <c r="U60" s="39">
        <v>46091.0</v>
      </c>
    </row>
    <row r="61" ht="15.75" customHeight="1">
      <c r="A61" s="155" t="s">
        <v>186</v>
      </c>
      <c r="B61" s="156" t="s">
        <v>194</v>
      </c>
      <c r="C61" s="157" t="s">
        <v>188</v>
      </c>
      <c r="D61" s="150">
        <f>1511205519/5</f>
        <v>302241103.8</v>
      </c>
      <c r="E61" s="44">
        <f t="shared" si="8"/>
        <v>11929456367</v>
      </c>
      <c r="F61" s="45">
        <v>1.7E9</v>
      </c>
      <c r="G61" s="46">
        <f t="shared" si="2"/>
        <v>7.017327275</v>
      </c>
      <c r="H61" s="65">
        <v>7.0</v>
      </c>
      <c r="I61" s="48">
        <f t="shared" si="3"/>
        <v>0.002475324957</v>
      </c>
      <c r="J61" s="66">
        <v>0.178</v>
      </c>
      <c r="K61" s="50">
        <v>1.7</v>
      </c>
      <c r="L61" s="51">
        <f t="shared" si="9"/>
        <v>5.624648596</v>
      </c>
      <c r="M61" s="168">
        <v>0.3</v>
      </c>
      <c r="N61" s="160">
        <f t="shared" si="5"/>
        <v>1.687394579</v>
      </c>
      <c r="O61" s="171">
        <f t="shared" si="6"/>
        <v>0.04275131945</v>
      </c>
      <c r="P61" s="172">
        <f>IFERROR(__xludf.DUMMYFUNCTION("GOOGLEFINANCE(""BVMF:SAPR11"")"),39.47)</f>
        <v>39.47</v>
      </c>
      <c r="Q61" s="55">
        <v>40.0</v>
      </c>
      <c r="R61" s="56">
        <f t="shared" si="7"/>
        <v>0.01325</v>
      </c>
      <c r="S61" s="130" t="s">
        <v>75</v>
      </c>
      <c r="T61" s="130" t="s">
        <v>189</v>
      </c>
      <c r="U61" s="58">
        <v>46091.0</v>
      </c>
    </row>
    <row r="62" ht="15.75" customHeight="1">
      <c r="A62" s="22" t="s">
        <v>195</v>
      </c>
      <c r="B62" s="23" t="s">
        <v>196</v>
      </c>
      <c r="C62" s="108" t="s">
        <v>53</v>
      </c>
      <c r="D62" s="59">
        <v>9.9615457E7</v>
      </c>
      <c r="E62" s="26">
        <f t="shared" si="8"/>
        <v>2221424691</v>
      </c>
      <c r="F62" s="27">
        <v>1.0E8</v>
      </c>
      <c r="G62" s="28">
        <f t="shared" si="2"/>
        <v>22.21424691</v>
      </c>
      <c r="H62" s="29">
        <v>10.0</v>
      </c>
      <c r="I62" s="30">
        <f t="shared" si="3"/>
        <v>1.221424691</v>
      </c>
      <c r="J62" s="31">
        <v>0.228</v>
      </c>
      <c r="K62" s="60">
        <v>1.7</v>
      </c>
      <c r="L62" s="33">
        <f t="shared" si="9"/>
        <v>1.003860274</v>
      </c>
      <c r="M62" s="109">
        <v>0.65</v>
      </c>
      <c r="N62" s="33">
        <f t="shared" si="5"/>
        <v>0.6525091784</v>
      </c>
      <c r="O62" s="35">
        <f t="shared" si="6"/>
        <v>0.02926050127</v>
      </c>
      <c r="P62" s="173">
        <f>IFERROR(__xludf.DUMMYFUNCTION("GOOGLEFINANCE(""BVMF:AGRO3"")"),22.3)</f>
        <v>22.3</v>
      </c>
      <c r="Q62" s="37">
        <v>22.48</v>
      </c>
      <c r="R62" s="38">
        <f t="shared" si="7"/>
        <v>0.008007117438</v>
      </c>
      <c r="S62" s="24" t="s">
        <v>111</v>
      </c>
      <c r="T62" s="141" t="s">
        <v>197</v>
      </c>
      <c r="U62" s="39">
        <v>46091.0</v>
      </c>
    </row>
    <row r="63" ht="15.75" customHeight="1">
      <c r="A63" s="61" t="s">
        <v>198</v>
      </c>
      <c r="B63" s="62" t="s">
        <v>199</v>
      </c>
      <c r="C63" s="63" t="s">
        <v>200</v>
      </c>
      <c r="D63" s="64">
        <v>2.3601907E7</v>
      </c>
      <c r="E63" s="44">
        <f t="shared" si="8"/>
        <v>652828747.6</v>
      </c>
      <c r="F63" s="174">
        <v>1.0E8</v>
      </c>
      <c r="G63" s="46">
        <f t="shared" si="2"/>
        <v>6.528287476</v>
      </c>
      <c r="H63" s="65">
        <v>7.3</v>
      </c>
      <c r="I63" s="48">
        <f t="shared" si="3"/>
        <v>-0.1057140444</v>
      </c>
      <c r="J63" s="66">
        <v>0.078</v>
      </c>
      <c r="K63" s="82">
        <v>-1.63</v>
      </c>
      <c r="L63" s="51">
        <f t="shared" si="9"/>
        <v>4.236945769</v>
      </c>
      <c r="M63" s="83">
        <v>0.5</v>
      </c>
      <c r="N63" s="51">
        <f t="shared" si="5"/>
        <v>2.118472884</v>
      </c>
      <c r="O63" s="53">
        <f t="shared" si="6"/>
        <v>0.07658976444</v>
      </c>
      <c r="P63" s="175">
        <f>IFERROR(__xludf.DUMMYFUNCTION("GOOGLEFINANCE(""BVMF:CGRA4"")"),27.66)</f>
        <v>27.66</v>
      </c>
      <c r="Q63" s="51">
        <f>6.5*L63</f>
        <v>27.5401475</v>
      </c>
      <c r="R63" s="56">
        <f t="shared" si="7"/>
        <v>-0.004351919415</v>
      </c>
      <c r="S63" s="80" t="s">
        <v>75</v>
      </c>
      <c r="T63" s="80" t="s">
        <v>189</v>
      </c>
      <c r="U63" s="58">
        <v>46091.0</v>
      </c>
    </row>
    <row r="64" ht="15.75" customHeight="1">
      <c r="A64" s="22" t="s">
        <v>201</v>
      </c>
      <c r="B64" s="23" t="s">
        <v>202</v>
      </c>
      <c r="C64" s="108" t="s">
        <v>115</v>
      </c>
      <c r="D64" s="59">
        <v>1.15225444E9</v>
      </c>
      <c r="E64" s="26">
        <f t="shared" si="8"/>
        <v>55481051286</v>
      </c>
      <c r="F64" s="27">
        <v>5.5E9</v>
      </c>
      <c r="G64" s="28">
        <f t="shared" si="2"/>
        <v>10.08746387</v>
      </c>
      <c r="H64" s="29">
        <v>13.0</v>
      </c>
      <c r="I64" s="30">
        <f t="shared" si="3"/>
        <v>-0.2240412408</v>
      </c>
      <c r="J64" s="31">
        <v>0.087</v>
      </c>
      <c r="K64" s="60">
        <v>2.07</v>
      </c>
      <c r="L64" s="33">
        <f t="shared" si="9"/>
        <v>4.773251297</v>
      </c>
      <c r="M64" s="34">
        <v>0.781</v>
      </c>
      <c r="N64" s="33">
        <f t="shared" si="5"/>
        <v>3.727909263</v>
      </c>
      <c r="O64" s="35">
        <f t="shared" si="6"/>
        <v>0.07742282997</v>
      </c>
      <c r="P64" s="170">
        <f>IFERROR(__xludf.DUMMYFUNCTION("GOOGLEFINANCE(""BVMF:CPFE3"")"),48.15)</f>
        <v>48.15</v>
      </c>
      <c r="Q64" s="33">
        <f>L64*10</f>
        <v>47.73251297</v>
      </c>
      <c r="R64" s="38">
        <f t="shared" si="7"/>
        <v>-0.008746387018</v>
      </c>
      <c r="S64" s="24" t="s">
        <v>75</v>
      </c>
      <c r="T64" s="24" t="s">
        <v>203</v>
      </c>
      <c r="U64" s="39">
        <v>46091.0</v>
      </c>
    </row>
    <row r="65" ht="15.75" customHeight="1">
      <c r="A65" s="40" t="s">
        <v>204</v>
      </c>
      <c r="B65" s="41" t="s">
        <v>205</v>
      </c>
      <c r="C65" s="106" t="s">
        <v>206</v>
      </c>
      <c r="D65" s="43">
        <v>6.58316448E8</v>
      </c>
      <c r="E65" s="44">
        <f t="shared" si="8"/>
        <v>5661521453</v>
      </c>
      <c r="F65" s="45">
        <v>6.0E8</v>
      </c>
      <c r="G65" s="46">
        <f t="shared" si="2"/>
        <v>9.435869088</v>
      </c>
      <c r="H65" s="47">
        <v>5.4</v>
      </c>
      <c r="I65" s="48">
        <f t="shared" si="3"/>
        <v>0.7473831644</v>
      </c>
      <c r="J65" s="49">
        <v>0.1529</v>
      </c>
      <c r="K65" s="50">
        <v>1.86</v>
      </c>
      <c r="L65" s="51">
        <f t="shared" si="9"/>
        <v>0.9114157816</v>
      </c>
      <c r="M65" s="52">
        <v>0.9</v>
      </c>
      <c r="N65" s="51">
        <f t="shared" si="5"/>
        <v>0.8202742034</v>
      </c>
      <c r="O65" s="53">
        <f t="shared" si="6"/>
        <v>0.09538072133</v>
      </c>
      <c r="P65" s="175">
        <f>IFERROR(__xludf.DUMMYFUNCTION("GOOGLEFINANCE(""BVMF:JHSF3"")"),8.6)</f>
        <v>8.6</v>
      </c>
      <c r="Q65" s="107">
        <v>8.5</v>
      </c>
      <c r="R65" s="56">
        <f t="shared" si="7"/>
        <v>-0.01176470588</v>
      </c>
      <c r="S65" s="42" t="s">
        <v>41</v>
      </c>
      <c r="T65" s="57" t="s">
        <v>42</v>
      </c>
      <c r="U65" s="58">
        <v>46091.0</v>
      </c>
    </row>
    <row r="66" ht="15.75" customHeight="1">
      <c r="A66" s="22" t="s">
        <v>207</v>
      </c>
      <c r="B66" s="23" t="s">
        <v>208</v>
      </c>
      <c r="C66" s="108" t="s">
        <v>115</v>
      </c>
      <c r="D66" s="59">
        <f>914275704/3</f>
        <v>304758568</v>
      </c>
      <c r="E66" s="26">
        <f t="shared" si="8"/>
        <v>10508075425</v>
      </c>
      <c r="F66" s="27">
        <v>9.5E8</v>
      </c>
      <c r="G66" s="28">
        <f t="shared" si="2"/>
        <v>11.06113203</v>
      </c>
      <c r="H66" s="84">
        <v>11.2</v>
      </c>
      <c r="I66" s="30">
        <f t="shared" si="3"/>
        <v>-0.01239892626</v>
      </c>
      <c r="J66" s="31">
        <v>-0.023</v>
      </c>
      <c r="K66" s="60">
        <v>3.5</v>
      </c>
      <c r="L66" s="33">
        <f t="shared" si="9"/>
        <v>3.11722163</v>
      </c>
      <c r="M66" s="109">
        <v>0.65</v>
      </c>
      <c r="N66" s="33">
        <f t="shared" si="5"/>
        <v>2.026194059</v>
      </c>
      <c r="O66" s="35">
        <f t="shared" si="6"/>
        <v>0.05876432887</v>
      </c>
      <c r="P66" s="170">
        <f>IFERROR(__xludf.DUMMYFUNCTION("GOOGLEFINANCE(""BVMF:ALUP11"")"),34.48)</f>
        <v>34.48</v>
      </c>
      <c r="Q66" s="37">
        <f>N66/0.06</f>
        <v>33.76990099</v>
      </c>
      <c r="R66" s="38">
        <f t="shared" si="7"/>
        <v>-0.02102757162</v>
      </c>
      <c r="S66" s="24" t="s">
        <v>31</v>
      </c>
      <c r="T66" s="24" t="s">
        <v>209</v>
      </c>
      <c r="U66" s="39">
        <v>46091.0</v>
      </c>
    </row>
    <row r="67" ht="15.75" customHeight="1">
      <c r="A67" s="40" t="s">
        <v>210</v>
      </c>
      <c r="B67" s="41" t="s">
        <v>211</v>
      </c>
      <c r="C67" s="106" t="s">
        <v>49</v>
      </c>
      <c r="D67" s="43">
        <v>3.47504E8</v>
      </c>
      <c r="E67" s="44">
        <f t="shared" si="8"/>
        <v>2988534400</v>
      </c>
      <c r="F67" s="45">
        <v>4.5E8</v>
      </c>
      <c r="G67" s="46">
        <f t="shared" si="2"/>
        <v>6.641187556</v>
      </c>
      <c r="H67" s="47">
        <v>7.2</v>
      </c>
      <c r="I67" s="48">
        <f t="shared" si="3"/>
        <v>-0.07761283951</v>
      </c>
      <c r="J67" s="49">
        <v>0.06</v>
      </c>
      <c r="K67" s="50">
        <v>0.0</v>
      </c>
      <c r="L67" s="51">
        <f t="shared" si="9"/>
        <v>1.294949123</v>
      </c>
      <c r="M67" s="83">
        <v>0.42</v>
      </c>
      <c r="N67" s="51">
        <f t="shared" si="5"/>
        <v>0.5438786316</v>
      </c>
      <c r="O67" s="53">
        <f t="shared" si="6"/>
        <v>0.06324170135</v>
      </c>
      <c r="P67" s="176">
        <f>IFERROR(__xludf.DUMMYFUNCTION("GOOGLEFINANCE(""BVMF:BEES3"")"),8.6)</f>
        <v>8.6</v>
      </c>
      <c r="Q67" s="107">
        <v>8.4</v>
      </c>
      <c r="R67" s="56">
        <f t="shared" si="7"/>
        <v>-0.02380952381</v>
      </c>
      <c r="S67" s="42" t="s">
        <v>41</v>
      </c>
      <c r="T67" s="57" t="s">
        <v>87</v>
      </c>
      <c r="U67" s="58">
        <v>46091.0</v>
      </c>
    </row>
    <row r="68" ht="15.75" customHeight="1">
      <c r="A68" s="22" t="s">
        <v>212</v>
      </c>
      <c r="B68" s="23" t="s">
        <v>213</v>
      </c>
      <c r="C68" s="108" t="s">
        <v>115</v>
      </c>
      <c r="D68" s="59">
        <v>7.2082E7</v>
      </c>
      <c r="E68" s="26">
        <f t="shared" si="8"/>
        <v>2235983640</v>
      </c>
      <c r="F68" s="177">
        <v>2.0E8</v>
      </c>
      <c r="G68" s="28">
        <f t="shared" si="2"/>
        <v>11.1799182</v>
      </c>
      <c r="H68" s="84">
        <v>7.1</v>
      </c>
      <c r="I68" s="30">
        <f t="shared" si="3"/>
        <v>0.5746363662</v>
      </c>
      <c r="J68" s="140">
        <v>0.073</v>
      </c>
      <c r="K68" s="178">
        <v>-3.17</v>
      </c>
      <c r="L68" s="33">
        <f t="shared" si="9"/>
        <v>2.774617796</v>
      </c>
      <c r="M68" s="34">
        <v>0.778</v>
      </c>
      <c r="N68" s="33">
        <f>M68*L68*1.1</f>
        <v>2.37451791</v>
      </c>
      <c r="O68" s="35">
        <f t="shared" si="6"/>
        <v>0.07654796616</v>
      </c>
      <c r="P68" s="179">
        <f>IFERROR(__xludf.DUMMYFUNCTION("GOOGLEFINANCE(""BVMF:CEBR6"")"),31.02)</f>
        <v>31.02</v>
      </c>
      <c r="Q68" s="33">
        <f>N68/0.08</f>
        <v>29.68147388</v>
      </c>
      <c r="R68" s="38">
        <f t="shared" si="7"/>
        <v>-0.04509634961</v>
      </c>
      <c r="S68" s="24" t="s">
        <v>75</v>
      </c>
      <c r="T68" s="24" t="s">
        <v>214</v>
      </c>
      <c r="U68" s="39">
        <v>46091.0</v>
      </c>
    </row>
    <row r="69" ht="15.75" customHeight="1">
      <c r="A69" s="61" t="s">
        <v>215</v>
      </c>
      <c r="B69" s="62" t="s">
        <v>216</v>
      </c>
      <c r="C69" s="63" t="s">
        <v>217</v>
      </c>
      <c r="D69" s="64">
        <v>3.56964439E8</v>
      </c>
      <c r="E69" s="44">
        <f t="shared" si="8"/>
        <v>1874063305</v>
      </c>
      <c r="F69" s="45">
        <v>2.0E8</v>
      </c>
      <c r="G69" s="46">
        <f t="shared" si="2"/>
        <v>9.370316524</v>
      </c>
      <c r="H69" s="81">
        <v>9.2</v>
      </c>
      <c r="I69" s="48">
        <f t="shared" si="3"/>
        <v>0.01851266563</v>
      </c>
      <c r="J69" s="110">
        <v>0.139</v>
      </c>
      <c r="K69" s="82">
        <v>0.12</v>
      </c>
      <c r="L69" s="51">
        <f t="shared" si="9"/>
        <v>0.5602798995</v>
      </c>
      <c r="M69" s="83">
        <v>0.5</v>
      </c>
      <c r="N69" s="51">
        <f t="shared" ref="N69:N93" si="10">M69*L69</f>
        <v>0.2801399497</v>
      </c>
      <c r="O69" s="53">
        <f t="shared" si="6"/>
        <v>0.05335999043</v>
      </c>
      <c r="P69" s="176">
        <f>IFERROR(__xludf.DUMMYFUNCTION("GOOGLEFINANCE(""BVMF:SHUL4"")"),5.25)</f>
        <v>5.25</v>
      </c>
      <c r="Q69" s="55">
        <v>5.0</v>
      </c>
      <c r="R69" s="56">
        <f t="shared" si="7"/>
        <v>-0.05</v>
      </c>
      <c r="S69" s="80" t="s">
        <v>31</v>
      </c>
      <c r="T69" s="80" t="s">
        <v>218</v>
      </c>
      <c r="U69" s="58">
        <v>46091.0</v>
      </c>
    </row>
    <row r="70" ht="15.75" customHeight="1">
      <c r="A70" s="22" t="s">
        <v>219</v>
      </c>
      <c r="B70" s="23" t="s">
        <v>220</v>
      </c>
      <c r="C70" s="108" t="s">
        <v>174</v>
      </c>
      <c r="D70" s="59">
        <v>1.2888732761E10</v>
      </c>
      <c r="E70" s="26">
        <f t="shared" si="8"/>
        <v>575739692434</v>
      </c>
      <c r="F70" s="27">
        <v>7.3E10</v>
      </c>
      <c r="G70" s="28">
        <f t="shared" si="2"/>
        <v>7.886845102</v>
      </c>
      <c r="H70" s="29">
        <v>6.2</v>
      </c>
      <c r="I70" s="30">
        <f t="shared" si="3"/>
        <v>0.2720717906</v>
      </c>
      <c r="J70" s="31">
        <v>0.656</v>
      </c>
      <c r="K70" s="32">
        <v>1.53</v>
      </c>
      <c r="L70" s="33">
        <f t="shared" si="9"/>
        <v>5.663861712</v>
      </c>
      <c r="M70" s="109">
        <v>0.45</v>
      </c>
      <c r="N70" s="33">
        <f t="shared" si="10"/>
        <v>2.54873777</v>
      </c>
      <c r="O70" s="35">
        <f t="shared" si="6"/>
        <v>0.05705703538</v>
      </c>
      <c r="P70" s="179">
        <f>IFERROR(__xludf.DUMMYFUNCTION("GOOGLEFINANCE(""BVMF:PETR4"")"),44.67)</f>
        <v>44.67</v>
      </c>
      <c r="Q70" s="37">
        <v>42.0</v>
      </c>
      <c r="R70" s="38">
        <f t="shared" si="7"/>
        <v>-0.06357142857</v>
      </c>
      <c r="S70" s="24" t="s">
        <v>31</v>
      </c>
      <c r="T70" s="180" t="s">
        <v>209</v>
      </c>
      <c r="U70" s="39">
        <v>46091.0</v>
      </c>
    </row>
    <row r="71" ht="15.75" customHeight="1">
      <c r="A71" s="61" t="s">
        <v>221</v>
      </c>
      <c r="B71" s="62" t="s">
        <v>222</v>
      </c>
      <c r="C71" s="63" t="s">
        <v>223</v>
      </c>
      <c r="D71" s="129">
        <v>5.44279713E8</v>
      </c>
      <c r="E71" s="44">
        <f t="shared" si="8"/>
        <v>8376464783</v>
      </c>
      <c r="F71" s="45">
        <v>6.8E8</v>
      </c>
      <c r="G71" s="46">
        <f t="shared" si="2"/>
        <v>12.31833056</v>
      </c>
      <c r="H71" s="65">
        <v>25.0</v>
      </c>
      <c r="I71" s="48">
        <f t="shared" si="3"/>
        <v>-0.5072667775</v>
      </c>
      <c r="J71" s="66">
        <v>0.178</v>
      </c>
      <c r="K71" s="82">
        <v>1.51</v>
      </c>
      <c r="L71" s="51">
        <f t="shared" si="9"/>
        <v>1.249357607</v>
      </c>
      <c r="M71" s="67">
        <v>0.75</v>
      </c>
      <c r="N71" s="51">
        <f t="shared" si="10"/>
        <v>0.9370182056</v>
      </c>
      <c r="O71" s="53">
        <f t="shared" si="6"/>
        <v>0.06088487366</v>
      </c>
      <c r="P71" s="176">
        <f>IFERROR(__xludf.DUMMYFUNCTION("GOOGLEFINANCE(""BVMF:FLRY3"")"),15.39)</f>
        <v>15.39</v>
      </c>
      <c r="Q71" s="51">
        <f>N71/0.065</f>
        <v>14.4156647</v>
      </c>
      <c r="R71" s="56">
        <f t="shared" si="7"/>
        <v>-0.06758864882</v>
      </c>
      <c r="S71" s="80" t="s">
        <v>75</v>
      </c>
      <c r="T71" s="181" t="s">
        <v>224</v>
      </c>
      <c r="U71" s="58">
        <v>46091.0</v>
      </c>
    </row>
    <row r="72" ht="15.75" customHeight="1">
      <c r="A72" s="22" t="s">
        <v>225</v>
      </c>
      <c r="B72" s="23" t="s">
        <v>226</v>
      </c>
      <c r="C72" s="108" t="s">
        <v>115</v>
      </c>
      <c r="D72" s="59">
        <v>1.033496721E9</v>
      </c>
      <c r="E72" s="26">
        <f t="shared" si="8"/>
        <v>14313929586</v>
      </c>
      <c r="F72" s="27">
        <v>1.27E9</v>
      </c>
      <c r="G72" s="28">
        <f t="shared" si="2"/>
        <v>11.2708107</v>
      </c>
      <c r="H72" s="29">
        <v>8.6</v>
      </c>
      <c r="I72" s="30">
        <f t="shared" si="3"/>
        <v>0.3105593834</v>
      </c>
      <c r="J72" s="31">
        <v>-0.058</v>
      </c>
      <c r="K72" s="32">
        <v>4.1</v>
      </c>
      <c r="L72" s="33">
        <f t="shared" si="9"/>
        <v>1.228837958</v>
      </c>
      <c r="M72" s="34">
        <v>0.95</v>
      </c>
      <c r="N72" s="33">
        <f t="shared" si="10"/>
        <v>1.16739606</v>
      </c>
      <c r="O72" s="35">
        <f t="shared" si="6"/>
        <v>0.08428852418</v>
      </c>
      <c r="P72" s="179">
        <f>IFERROR(__xludf.DUMMYFUNCTION("GOOGLEFINANCE(""BVMF:TAEE3"")"),13.85)</f>
        <v>13.85</v>
      </c>
      <c r="Q72" s="37">
        <f>N72/0.09</f>
        <v>12.97106733</v>
      </c>
      <c r="R72" s="38">
        <f t="shared" si="7"/>
        <v>-0.06776101345</v>
      </c>
      <c r="S72" s="24" t="s">
        <v>31</v>
      </c>
      <c r="T72" s="180" t="s">
        <v>227</v>
      </c>
      <c r="U72" s="39">
        <v>46091.0</v>
      </c>
    </row>
    <row r="73" ht="15.75" customHeight="1">
      <c r="A73" s="61" t="s">
        <v>228</v>
      </c>
      <c r="B73" s="62" t="s">
        <v>229</v>
      </c>
      <c r="C73" s="63" t="s">
        <v>107</v>
      </c>
      <c r="D73" s="64">
        <v>3.99087E8</v>
      </c>
      <c r="E73" s="44">
        <f t="shared" si="8"/>
        <v>2139106320</v>
      </c>
      <c r="F73" s="45">
        <v>2.0E8</v>
      </c>
      <c r="G73" s="46">
        <f t="shared" si="2"/>
        <v>10.6955316</v>
      </c>
      <c r="H73" s="65">
        <v>9.7</v>
      </c>
      <c r="I73" s="48">
        <f t="shared" si="3"/>
        <v>0.1026321237</v>
      </c>
      <c r="J73" s="66">
        <v>0.2</v>
      </c>
      <c r="K73" s="82">
        <v>0.84</v>
      </c>
      <c r="L73" s="51">
        <f t="shared" si="9"/>
        <v>0.5011438609</v>
      </c>
      <c r="M73" s="83">
        <v>0.5</v>
      </c>
      <c r="N73" s="51">
        <f t="shared" si="10"/>
        <v>0.2505719304</v>
      </c>
      <c r="O73" s="53">
        <f t="shared" si="6"/>
        <v>0.04674849448</v>
      </c>
      <c r="P73" s="176">
        <f>IFERROR(__xludf.DUMMYFUNCTION("GOOGLEFINANCE(""BVMF:FIQE3"")"),5.36)</f>
        <v>5.36</v>
      </c>
      <c r="Q73" s="51">
        <f>10*L73</f>
        <v>5.011438609</v>
      </c>
      <c r="R73" s="56">
        <f t="shared" si="7"/>
        <v>-0.06955316</v>
      </c>
      <c r="S73" s="80" t="s">
        <v>36</v>
      </c>
      <c r="T73" s="182" t="s">
        <v>230</v>
      </c>
      <c r="U73" s="58">
        <v>46091.0</v>
      </c>
    </row>
    <row r="74" ht="15.75" customHeight="1">
      <c r="A74" s="22" t="s">
        <v>231</v>
      </c>
      <c r="B74" s="23" t="s">
        <v>232</v>
      </c>
      <c r="C74" s="108" t="s">
        <v>174</v>
      </c>
      <c r="D74" s="113">
        <v>2.92973655E8</v>
      </c>
      <c r="E74" s="26">
        <f t="shared" si="8"/>
        <v>3761781730</v>
      </c>
      <c r="F74" s="27">
        <v>4.4E8</v>
      </c>
      <c r="G74" s="28">
        <f t="shared" si="2"/>
        <v>8.549503932</v>
      </c>
      <c r="H74" s="84">
        <v>9.3</v>
      </c>
      <c r="I74" s="30">
        <f t="shared" si="3"/>
        <v>-0.08069850191</v>
      </c>
      <c r="J74" s="140">
        <v>0.3173</v>
      </c>
      <c r="K74" s="32">
        <v>1.0</v>
      </c>
      <c r="L74" s="33">
        <f t="shared" si="9"/>
        <v>1.501841522</v>
      </c>
      <c r="M74" s="34">
        <v>0.5</v>
      </c>
      <c r="N74" s="33">
        <f t="shared" si="10"/>
        <v>0.7509207611</v>
      </c>
      <c r="O74" s="35">
        <f t="shared" si="6"/>
        <v>0.05848292532</v>
      </c>
      <c r="P74" s="183">
        <f>IFERROR(__xludf.DUMMYFUNCTION("GOOGLEFINANCE(""BVMF:RECV3"")"),12.84)</f>
        <v>12.84</v>
      </c>
      <c r="Q74" s="37">
        <v>12.0</v>
      </c>
      <c r="R74" s="38">
        <f t="shared" si="7"/>
        <v>-0.07</v>
      </c>
      <c r="S74" s="24" t="s">
        <v>75</v>
      </c>
      <c r="T74" s="184" t="s">
        <v>233</v>
      </c>
      <c r="U74" s="39">
        <v>46091.0</v>
      </c>
    </row>
    <row r="75" ht="15.75" customHeight="1">
      <c r="A75" s="61" t="s">
        <v>234</v>
      </c>
      <c r="B75" s="62" t="s">
        <v>235</v>
      </c>
      <c r="C75" s="63" t="s">
        <v>30</v>
      </c>
      <c r="D75" s="64">
        <v>5.168573066E9</v>
      </c>
      <c r="E75" s="44">
        <f t="shared" si="8"/>
        <v>87245513354</v>
      </c>
      <c r="F75" s="45">
        <v>5.7E9</v>
      </c>
      <c r="G75" s="46">
        <f t="shared" si="2"/>
        <v>15.30623041</v>
      </c>
      <c r="H75" s="81">
        <v>21.0</v>
      </c>
      <c r="I75" s="48">
        <f t="shared" si="3"/>
        <v>-0.2711318851</v>
      </c>
      <c r="J75" s="66">
        <v>0.147</v>
      </c>
      <c r="K75" s="82">
        <v>0.05</v>
      </c>
      <c r="L75" s="51">
        <f t="shared" si="9"/>
        <v>1.102818888</v>
      </c>
      <c r="M75" s="83">
        <v>1.0</v>
      </c>
      <c r="N75" s="51">
        <f t="shared" si="10"/>
        <v>1.102818888</v>
      </c>
      <c r="O75" s="53">
        <f t="shared" si="6"/>
        <v>0.0653328725</v>
      </c>
      <c r="P75" s="176">
        <f>IFERROR(__xludf.DUMMYFUNCTION("GOOGLEFINANCE(""BVMF:B3SA3"")"),16.88)</f>
        <v>16.88</v>
      </c>
      <c r="Q75" s="55">
        <f>N75/0.07</f>
        <v>15.75455554</v>
      </c>
      <c r="R75" s="56">
        <f t="shared" si="7"/>
        <v>-0.07143612891</v>
      </c>
      <c r="S75" s="80" t="s">
        <v>31</v>
      </c>
      <c r="T75" s="181" t="s">
        <v>236</v>
      </c>
      <c r="U75" s="58">
        <v>46091.0</v>
      </c>
    </row>
    <row r="76" ht="15.75" customHeight="1">
      <c r="A76" s="132" t="s">
        <v>237</v>
      </c>
      <c r="B76" s="133" t="s">
        <v>238</v>
      </c>
      <c r="C76" s="99" t="s">
        <v>115</v>
      </c>
      <c r="D76" s="100">
        <v>2.855268322E9</v>
      </c>
      <c r="E76" s="26">
        <f t="shared" si="8"/>
        <v>165605562676</v>
      </c>
      <c r="F76" s="27">
        <v>1.2E10</v>
      </c>
      <c r="G76" s="28">
        <f t="shared" si="2"/>
        <v>13.80046356</v>
      </c>
      <c r="H76" s="101">
        <v>9.3</v>
      </c>
      <c r="I76" s="30">
        <f t="shared" si="3"/>
        <v>0.4839208125</v>
      </c>
      <c r="J76" s="135">
        <v>0.0075</v>
      </c>
      <c r="K76" s="32">
        <v>1.8</v>
      </c>
      <c r="L76" s="33">
        <f t="shared" si="9"/>
        <v>4.202757376</v>
      </c>
      <c r="M76" s="136">
        <v>0.85</v>
      </c>
      <c r="N76" s="33">
        <f t="shared" si="10"/>
        <v>3.572343769</v>
      </c>
      <c r="O76" s="35">
        <f t="shared" si="6"/>
        <v>0.06159213395</v>
      </c>
      <c r="P76" s="185">
        <f>IFERROR(__xludf.DUMMYFUNCTION("GOOGLEFINANCE(""BVMF:AXIA3"")"),58.0)</f>
        <v>58</v>
      </c>
      <c r="Q76" s="137">
        <v>54.0</v>
      </c>
      <c r="R76" s="38">
        <f t="shared" si="7"/>
        <v>-0.07407407407</v>
      </c>
      <c r="S76" s="186" t="s">
        <v>75</v>
      </c>
      <c r="T76" s="187" t="s">
        <v>239</v>
      </c>
      <c r="U76" s="39">
        <v>46091.0</v>
      </c>
    </row>
    <row r="77" ht="15.75" customHeight="1">
      <c r="A77" s="61" t="s">
        <v>212</v>
      </c>
      <c r="B77" s="62" t="s">
        <v>240</v>
      </c>
      <c r="C77" s="63" t="s">
        <v>115</v>
      </c>
      <c r="D77" s="129">
        <v>7.2082E7</v>
      </c>
      <c r="E77" s="44">
        <f t="shared" si="8"/>
        <v>2100469480</v>
      </c>
      <c r="F77" s="188">
        <v>2.0E8</v>
      </c>
      <c r="G77" s="46">
        <f t="shared" si="2"/>
        <v>10.5023474</v>
      </c>
      <c r="H77" s="81">
        <v>7.1</v>
      </c>
      <c r="I77" s="48">
        <f t="shared" si="3"/>
        <v>0.4792038592</v>
      </c>
      <c r="J77" s="110">
        <v>0.073</v>
      </c>
      <c r="K77" s="189">
        <v>-3.17</v>
      </c>
      <c r="L77" s="51">
        <f t="shared" si="9"/>
        <v>2.774617796</v>
      </c>
      <c r="M77" s="67">
        <v>0.778</v>
      </c>
      <c r="N77" s="51">
        <f t="shared" si="10"/>
        <v>2.158652646</v>
      </c>
      <c r="O77" s="53">
        <f t="shared" si="6"/>
        <v>0.07407867693</v>
      </c>
      <c r="P77" s="176">
        <f>IFERROR(__xludf.DUMMYFUNCTION("GOOGLEFINANCE(""BVMF:CEBR5"")"),29.14)</f>
        <v>29.14</v>
      </c>
      <c r="Q77" s="51">
        <f>N77/0.08</f>
        <v>26.98315807</v>
      </c>
      <c r="R77" s="56">
        <f t="shared" si="7"/>
        <v>-0.0799328946</v>
      </c>
      <c r="S77" s="80" t="s">
        <v>75</v>
      </c>
      <c r="T77" s="181" t="s">
        <v>214</v>
      </c>
      <c r="U77" s="58">
        <v>46091.0</v>
      </c>
    </row>
    <row r="78" ht="15.75" customHeight="1">
      <c r="A78" s="22" t="s">
        <v>225</v>
      </c>
      <c r="B78" s="23" t="s">
        <v>241</v>
      </c>
      <c r="C78" s="108" t="s">
        <v>115</v>
      </c>
      <c r="D78" s="59">
        <f>1033496721/3</f>
        <v>344498907</v>
      </c>
      <c r="E78" s="26">
        <f t="shared" si="8"/>
        <v>14537853875</v>
      </c>
      <c r="F78" s="27">
        <v>1.27E9</v>
      </c>
      <c r="G78" s="28">
        <f t="shared" si="2"/>
        <v>11.44712904</v>
      </c>
      <c r="H78" s="29">
        <v>8.6</v>
      </c>
      <c r="I78" s="30">
        <f t="shared" si="3"/>
        <v>0.3310615158</v>
      </c>
      <c r="J78" s="31">
        <v>-0.058</v>
      </c>
      <c r="K78" s="32">
        <v>4.1</v>
      </c>
      <c r="L78" s="33">
        <f t="shared" si="9"/>
        <v>3.686513873</v>
      </c>
      <c r="M78" s="34">
        <v>0.95</v>
      </c>
      <c r="N78" s="33">
        <f t="shared" si="10"/>
        <v>3.50218818</v>
      </c>
      <c r="O78" s="35">
        <f t="shared" si="6"/>
        <v>0.08299024122</v>
      </c>
      <c r="P78" s="179">
        <f>IFERROR(__xludf.DUMMYFUNCTION("GOOGLEFINANCE(""BVMF:TAEE11"")"),42.2)</f>
        <v>42.2</v>
      </c>
      <c r="Q78" s="37">
        <f t="shared" ref="Q78:Q79" si="11">N78/0.09</f>
        <v>38.913202</v>
      </c>
      <c r="R78" s="38">
        <f t="shared" si="7"/>
        <v>-0.08446485602</v>
      </c>
      <c r="S78" s="24" t="s">
        <v>31</v>
      </c>
      <c r="T78" s="180" t="s">
        <v>227</v>
      </c>
      <c r="U78" s="39">
        <v>46091.0</v>
      </c>
    </row>
    <row r="79" ht="15.75" customHeight="1">
      <c r="A79" s="61" t="s">
        <v>225</v>
      </c>
      <c r="B79" s="62" t="s">
        <v>242</v>
      </c>
      <c r="C79" s="63" t="s">
        <v>115</v>
      </c>
      <c r="D79" s="129">
        <v>1.033496721E9</v>
      </c>
      <c r="E79" s="44">
        <f t="shared" si="8"/>
        <v>14644648537</v>
      </c>
      <c r="F79" s="45">
        <v>1.27E9</v>
      </c>
      <c r="G79" s="46">
        <f t="shared" si="2"/>
        <v>11.53121932</v>
      </c>
      <c r="H79" s="65">
        <v>8.6</v>
      </c>
      <c r="I79" s="48">
        <f t="shared" si="3"/>
        <v>0.3408394558</v>
      </c>
      <c r="J79" s="66">
        <v>-0.058</v>
      </c>
      <c r="K79" s="50">
        <v>4.1</v>
      </c>
      <c r="L79" s="51">
        <f t="shared" si="9"/>
        <v>1.228837958</v>
      </c>
      <c r="M79" s="67">
        <v>0.95</v>
      </c>
      <c r="N79" s="51">
        <f t="shared" si="10"/>
        <v>1.16739606</v>
      </c>
      <c r="O79" s="53">
        <f t="shared" si="6"/>
        <v>0.08238504304</v>
      </c>
      <c r="P79" s="176">
        <f>IFERROR(__xludf.DUMMYFUNCTION("GOOGLEFINANCE(""BVMF:TAEE4"")"),14.17)</f>
        <v>14.17</v>
      </c>
      <c r="Q79" s="55">
        <f t="shared" si="11"/>
        <v>12.97106733</v>
      </c>
      <c r="R79" s="56">
        <f t="shared" si="7"/>
        <v>-0.09243130401</v>
      </c>
      <c r="S79" s="80" t="s">
        <v>31</v>
      </c>
      <c r="T79" s="181" t="s">
        <v>227</v>
      </c>
      <c r="U79" s="58">
        <v>46091.0</v>
      </c>
    </row>
    <row r="80" ht="15.75" customHeight="1">
      <c r="A80" s="22" t="s">
        <v>243</v>
      </c>
      <c r="B80" s="23" t="s">
        <v>244</v>
      </c>
      <c r="C80" s="108" t="s">
        <v>115</v>
      </c>
      <c r="D80" s="59">
        <v>3.8572E7</v>
      </c>
      <c r="E80" s="26">
        <f t="shared" si="8"/>
        <v>5583682720</v>
      </c>
      <c r="F80" s="27">
        <v>8.5E8</v>
      </c>
      <c r="G80" s="28">
        <f t="shared" si="2"/>
        <v>6.569038494</v>
      </c>
      <c r="H80" s="29">
        <v>5.6</v>
      </c>
      <c r="I80" s="30">
        <f t="shared" si="3"/>
        <v>0.1730425882</v>
      </c>
      <c r="J80" s="31">
        <v>0.073</v>
      </c>
      <c r="K80" s="32">
        <v>2.2</v>
      </c>
      <c r="L80" s="33">
        <f t="shared" si="9"/>
        <v>22.03671057</v>
      </c>
      <c r="M80" s="109">
        <v>0.35</v>
      </c>
      <c r="N80" s="33">
        <f t="shared" si="10"/>
        <v>7.712848699</v>
      </c>
      <c r="O80" s="35">
        <f t="shared" si="6"/>
        <v>0.05328024799</v>
      </c>
      <c r="P80" s="179">
        <f>IFERROR(__xludf.DUMMYFUNCTION("GOOGLEFINANCE(""BVMF:CLSC4"")"),144.76)</f>
        <v>144.76</v>
      </c>
      <c r="Q80" s="33">
        <f>6*L80</f>
        <v>132.2202634</v>
      </c>
      <c r="R80" s="38">
        <f t="shared" si="7"/>
        <v>-0.09483974902</v>
      </c>
      <c r="S80" s="24" t="s">
        <v>26</v>
      </c>
      <c r="T80" s="180" t="s">
        <v>108</v>
      </c>
      <c r="U80" s="39">
        <v>46091.0</v>
      </c>
    </row>
    <row r="81" ht="15.75" customHeight="1">
      <c r="A81" s="61" t="s">
        <v>245</v>
      </c>
      <c r="B81" s="62" t="s">
        <v>246</v>
      </c>
      <c r="C81" s="63" t="s">
        <v>115</v>
      </c>
      <c r="D81" s="129">
        <v>2.861781207E9</v>
      </c>
      <c r="E81" s="44">
        <f t="shared" si="8"/>
        <v>33540075746</v>
      </c>
      <c r="F81" s="45">
        <v>3.8E9</v>
      </c>
      <c r="G81" s="46">
        <f t="shared" si="2"/>
        <v>8.826335723</v>
      </c>
      <c r="H81" s="65">
        <v>8.2</v>
      </c>
      <c r="I81" s="48">
        <f t="shared" si="3"/>
        <v>0.0763824052</v>
      </c>
      <c r="J81" s="66">
        <v>0.196</v>
      </c>
      <c r="K81" s="50">
        <v>1.76</v>
      </c>
      <c r="L81" s="51">
        <f t="shared" si="9"/>
        <v>1.327844348</v>
      </c>
      <c r="M81" s="67">
        <v>0.5</v>
      </c>
      <c r="N81" s="51">
        <f t="shared" si="10"/>
        <v>0.6639221738</v>
      </c>
      <c r="O81" s="53">
        <f t="shared" si="6"/>
        <v>0.05664864964</v>
      </c>
      <c r="P81" s="111">
        <f>IFERROR(__xludf.DUMMYFUNCTION("GOOGLEFINANCE(""BVMF:CMIG4"")"),11.72)</f>
        <v>11.72</v>
      </c>
      <c r="Q81" s="51">
        <v>10.65</v>
      </c>
      <c r="R81" s="56">
        <f t="shared" si="7"/>
        <v>-0.1004694836</v>
      </c>
      <c r="S81" s="80" t="s">
        <v>26</v>
      </c>
      <c r="T81" s="80" t="s">
        <v>108</v>
      </c>
      <c r="U81" s="58">
        <v>46091.0</v>
      </c>
    </row>
    <row r="82" ht="15.75" customHeight="1">
      <c r="A82" s="22" t="s">
        <v>247</v>
      </c>
      <c r="B82" s="23" t="s">
        <v>248</v>
      </c>
      <c r="C82" s="108" t="s">
        <v>249</v>
      </c>
      <c r="D82" s="59">
        <v>1.12722576E8</v>
      </c>
      <c r="E82" s="26">
        <f t="shared" si="8"/>
        <v>7464488983</v>
      </c>
      <c r="F82" s="27">
        <v>5.5E8</v>
      </c>
      <c r="G82" s="28">
        <f t="shared" si="2"/>
        <v>13.57179815</v>
      </c>
      <c r="H82" s="29">
        <v>9.3</v>
      </c>
      <c r="I82" s="30">
        <f t="shared" si="3"/>
        <v>0.4593331345</v>
      </c>
      <c r="J82" s="31">
        <v>0.165</v>
      </c>
      <c r="K82" s="60">
        <v>0.89</v>
      </c>
      <c r="L82" s="33">
        <f t="shared" si="9"/>
        <v>4.879235549</v>
      </c>
      <c r="M82" s="34">
        <v>0.95</v>
      </c>
      <c r="N82" s="33">
        <f t="shared" si="10"/>
        <v>4.635273772</v>
      </c>
      <c r="O82" s="35">
        <f t="shared" si="6"/>
        <v>0.0699980938</v>
      </c>
      <c r="P82" s="190">
        <f>IFERROR(__xludf.DUMMYFUNCTION("GOOGLEFINANCE(""BVMF:UNIP6"")"),66.22)</f>
        <v>66.22</v>
      </c>
      <c r="Q82" s="37">
        <v>60.0</v>
      </c>
      <c r="R82" s="38">
        <f t="shared" si="7"/>
        <v>-0.1036666667</v>
      </c>
      <c r="S82" s="24" t="s">
        <v>75</v>
      </c>
      <c r="T82" s="180" t="s">
        <v>224</v>
      </c>
      <c r="U82" s="39">
        <v>46091.0</v>
      </c>
    </row>
    <row r="83" ht="15.75" customHeight="1">
      <c r="A83" s="61" t="s">
        <v>186</v>
      </c>
      <c r="B83" s="62" t="s">
        <v>250</v>
      </c>
      <c r="C83" s="63" t="s">
        <v>188</v>
      </c>
      <c r="D83" s="129">
        <v>1.511205519E9</v>
      </c>
      <c r="E83" s="44">
        <f t="shared" si="8"/>
        <v>13343944733</v>
      </c>
      <c r="F83" s="45">
        <v>1.7E9</v>
      </c>
      <c r="G83" s="46">
        <f t="shared" si="2"/>
        <v>7.849379255</v>
      </c>
      <c r="H83" s="65">
        <v>7.0</v>
      </c>
      <c r="I83" s="48">
        <f t="shared" si="3"/>
        <v>0.1213398935</v>
      </c>
      <c r="J83" s="66">
        <v>0.178</v>
      </c>
      <c r="K83" s="50">
        <v>1.7</v>
      </c>
      <c r="L83" s="51">
        <f t="shared" si="9"/>
        <v>1.124929719</v>
      </c>
      <c r="M83" s="83">
        <v>0.3185</v>
      </c>
      <c r="N83" s="51">
        <f t="shared" si="10"/>
        <v>0.3582901155</v>
      </c>
      <c r="O83" s="53">
        <f t="shared" si="6"/>
        <v>0.04057645703</v>
      </c>
      <c r="P83" s="191">
        <f>IFERROR(__xludf.DUMMYFUNCTION("GOOGLEFINANCE(""BVMF:SAPR3"")"),8.83)</f>
        <v>8.83</v>
      </c>
      <c r="Q83" s="55">
        <v>8.0</v>
      </c>
      <c r="R83" s="56">
        <f t="shared" si="7"/>
        <v>-0.10375</v>
      </c>
      <c r="S83" s="80" t="s">
        <v>75</v>
      </c>
      <c r="T83" s="181" t="s">
        <v>189</v>
      </c>
      <c r="U83" s="58">
        <v>46091.0</v>
      </c>
    </row>
    <row r="84" ht="15.75" customHeight="1">
      <c r="A84" s="22" t="s">
        <v>251</v>
      </c>
      <c r="B84" s="23" t="s">
        <v>252</v>
      </c>
      <c r="C84" s="108" t="s">
        <v>115</v>
      </c>
      <c r="D84" s="59">
        <v>6.58883304E8</v>
      </c>
      <c r="E84" s="26">
        <f t="shared" si="8"/>
        <v>18237889855</v>
      </c>
      <c r="F84" s="27">
        <v>1.4E9</v>
      </c>
      <c r="G84" s="28">
        <f t="shared" si="2"/>
        <v>13.02706418</v>
      </c>
      <c r="H84" s="29">
        <v>7.8</v>
      </c>
      <c r="I84" s="30">
        <f t="shared" si="3"/>
        <v>0.6701364336</v>
      </c>
      <c r="J84" s="31">
        <v>-0.005</v>
      </c>
      <c r="K84" s="60">
        <v>3.16</v>
      </c>
      <c r="L84" s="33">
        <f t="shared" si="9"/>
        <v>2.124807218</v>
      </c>
      <c r="M84" s="109">
        <v>0.75</v>
      </c>
      <c r="N84" s="33">
        <f t="shared" si="10"/>
        <v>1.593605413</v>
      </c>
      <c r="O84" s="35">
        <f t="shared" si="6"/>
        <v>0.0575724499</v>
      </c>
      <c r="P84" s="190">
        <f>IFERROR(__xludf.DUMMYFUNCTION("GOOGLEFINANCE(""BVMF:ISAE4"")"),27.68)</f>
        <v>27.68</v>
      </c>
      <c r="Q84" s="37">
        <v>24.0</v>
      </c>
      <c r="R84" s="38">
        <f t="shared" si="7"/>
        <v>-0.1533333333</v>
      </c>
      <c r="S84" s="24" t="s">
        <v>111</v>
      </c>
      <c r="T84" s="24" t="s">
        <v>253</v>
      </c>
      <c r="U84" s="39">
        <v>46091.0</v>
      </c>
    </row>
    <row r="85" ht="15.75" customHeight="1">
      <c r="A85" s="192" t="s">
        <v>212</v>
      </c>
      <c r="B85" s="193" t="s">
        <v>254</v>
      </c>
      <c r="C85" s="194" t="s">
        <v>115</v>
      </c>
      <c r="D85" s="195">
        <v>7.2082E7</v>
      </c>
      <c r="E85" s="196">
        <f t="shared" si="8"/>
        <v>2248958400</v>
      </c>
      <c r="F85" s="188">
        <v>2.0E8</v>
      </c>
      <c r="G85" s="46">
        <f t="shared" si="2"/>
        <v>11.244792</v>
      </c>
      <c r="H85" s="197">
        <v>7.1</v>
      </c>
      <c r="I85" s="198">
        <f t="shared" si="3"/>
        <v>0.5837735211</v>
      </c>
      <c r="J85" s="199">
        <v>0.073</v>
      </c>
      <c r="K85" s="189">
        <v>-3.17</v>
      </c>
      <c r="L85" s="200">
        <f t="shared" si="9"/>
        <v>2.774617796</v>
      </c>
      <c r="M85" s="67">
        <v>0.778</v>
      </c>
      <c r="N85" s="200">
        <f t="shared" si="10"/>
        <v>2.158652646</v>
      </c>
      <c r="O85" s="201">
        <f t="shared" si="6"/>
        <v>0.06918758479</v>
      </c>
      <c r="P85" s="202">
        <f>IFERROR(__xludf.DUMMYFUNCTION("GOOGLEFINANCE(""BVMF:CEBR3"")"),31.2)</f>
        <v>31.2</v>
      </c>
      <c r="Q85" s="200">
        <f>N85/0.08</f>
        <v>26.98315807</v>
      </c>
      <c r="R85" s="56">
        <f t="shared" si="7"/>
        <v>-0.1562768123</v>
      </c>
      <c r="S85" s="128" t="s">
        <v>75</v>
      </c>
      <c r="T85" s="203" t="s">
        <v>214</v>
      </c>
      <c r="U85" s="58">
        <v>46091.0</v>
      </c>
    </row>
    <row r="86" ht="15.75" customHeight="1">
      <c r="A86" s="22" t="s">
        <v>255</v>
      </c>
      <c r="B86" s="23" t="s">
        <v>256</v>
      </c>
      <c r="C86" s="108" t="s">
        <v>61</v>
      </c>
      <c r="D86" s="59">
        <v>2.25E7</v>
      </c>
      <c r="E86" s="26">
        <f t="shared" si="8"/>
        <v>319050000</v>
      </c>
      <c r="F86" s="27">
        <v>6.0E7</v>
      </c>
      <c r="G86" s="28">
        <f t="shared" si="2"/>
        <v>5.3175</v>
      </c>
      <c r="H86" s="29">
        <v>6.8</v>
      </c>
      <c r="I86" s="30">
        <f t="shared" si="3"/>
        <v>-0.2180147059</v>
      </c>
      <c r="J86" s="31">
        <v>0.303</v>
      </c>
      <c r="K86" s="60">
        <v>0.77</v>
      </c>
      <c r="L86" s="33">
        <f t="shared" si="9"/>
        <v>2.666666667</v>
      </c>
      <c r="M86" s="109">
        <v>0.3</v>
      </c>
      <c r="N86" s="33">
        <f t="shared" si="10"/>
        <v>0.8</v>
      </c>
      <c r="O86" s="35">
        <f t="shared" si="6"/>
        <v>0.05641748942</v>
      </c>
      <c r="P86" s="190">
        <f>IFERROR(__xludf.DUMMYFUNCTION("GOOGLEFINANCE(""BVMF:EALT4"")"),14.18)</f>
        <v>14.18</v>
      </c>
      <c r="Q86" s="33">
        <f>4.5*L86</f>
        <v>12</v>
      </c>
      <c r="R86" s="38">
        <f t="shared" si="7"/>
        <v>-0.1816666667</v>
      </c>
      <c r="S86" s="24" t="s">
        <v>36</v>
      </c>
      <c r="T86" s="180" t="s">
        <v>257</v>
      </c>
      <c r="U86" s="39">
        <v>46091.0</v>
      </c>
    </row>
    <row r="87" ht="15.75" customHeight="1">
      <c r="A87" s="61" t="s">
        <v>258</v>
      </c>
      <c r="B87" s="62" t="s">
        <v>259</v>
      </c>
      <c r="C87" s="63" t="s">
        <v>115</v>
      </c>
      <c r="D87" s="64">
        <v>2.9692886E9</v>
      </c>
      <c r="E87" s="44">
        <f t="shared" si="8"/>
        <v>41837276374</v>
      </c>
      <c r="F87" s="45">
        <v>2.7E9</v>
      </c>
      <c r="G87" s="46">
        <f t="shared" si="2"/>
        <v>15.49528755</v>
      </c>
      <c r="H87" s="65">
        <v>8.8</v>
      </c>
      <c r="I87" s="48">
        <f t="shared" si="3"/>
        <v>0.7608281302</v>
      </c>
      <c r="J87" s="66">
        <v>-0.05</v>
      </c>
      <c r="K87" s="82">
        <v>2.3</v>
      </c>
      <c r="L87" s="51">
        <f t="shared" si="9"/>
        <v>0.9093087146</v>
      </c>
      <c r="M87" s="67">
        <v>0.95</v>
      </c>
      <c r="N87" s="51">
        <f t="shared" si="10"/>
        <v>0.8638432788</v>
      </c>
      <c r="O87" s="53">
        <f t="shared" si="6"/>
        <v>0.0613089623</v>
      </c>
      <c r="P87" s="191">
        <f>IFERROR(__xludf.DUMMYFUNCTION("GOOGLEFINANCE(""BVMF:CPLE3"")"),14.09)</f>
        <v>14.09</v>
      </c>
      <c r="Q87" s="51">
        <f>N87/0.075</f>
        <v>11.51791038</v>
      </c>
      <c r="R87" s="56">
        <f t="shared" si="7"/>
        <v>-0.2233121747</v>
      </c>
      <c r="S87" s="80" t="s">
        <v>75</v>
      </c>
      <c r="T87" s="181" t="s">
        <v>150</v>
      </c>
      <c r="U87" s="58">
        <v>46091.0</v>
      </c>
    </row>
    <row r="88" ht="15.75" customHeight="1">
      <c r="A88" s="22" t="s">
        <v>260</v>
      </c>
      <c r="B88" s="23" t="s">
        <v>261</v>
      </c>
      <c r="C88" s="108" t="s">
        <v>188</v>
      </c>
      <c r="D88" s="59">
        <v>3.79181E8</v>
      </c>
      <c r="E88" s="26">
        <f t="shared" si="8"/>
        <v>19743954670</v>
      </c>
      <c r="F88" s="27">
        <v>1.5E9</v>
      </c>
      <c r="G88" s="28">
        <f t="shared" si="2"/>
        <v>13.16263645</v>
      </c>
      <c r="H88" s="29">
        <v>9.1</v>
      </c>
      <c r="I88" s="30">
        <f t="shared" si="3"/>
        <v>0.4464435656</v>
      </c>
      <c r="J88" s="31">
        <v>0.107</v>
      </c>
      <c r="K88" s="32">
        <v>2.3</v>
      </c>
      <c r="L88" s="33">
        <f t="shared" si="9"/>
        <v>3.955894415</v>
      </c>
      <c r="M88" s="34">
        <v>0.5</v>
      </c>
      <c r="N88" s="33">
        <f t="shared" si="10"/>
        <v>1.977947207</v>
      </c>
      <c r="O88" s="35">
        <f t="shared" si="6"/>
        <v>0.03798631088</v>
      </c>
      <c r="P88" s="190">
        <f>IFERROR(__xludf.DUMMYFUNCTION("GOOGLEFINANCE(""BVMF:CSMG3"")"),52.07)</f>
        <v>52.07</v>
      </c>
      <c r="Q88" s="37">
        <v>42.0</v>
      </c>
      <c r="R88" s="38">
        <f t="shared" si="7"/>
        <v>-0.2397619048</v>
      </c>
      <c r="S88" s="24" t="s">
        <v>31</v>
      </c>
      <c r="T88" s="180" t="s">
        <v>262</v>
      </c>
      <c r="U88" s="39">
        <v>46091.0</v>
      </c>
    </row>
    <row r="89" ht="15.75" customHeight="1">
      <c r="A89" s="61" t="s">
        <v>263</v>
      </c>
      <c r="B89" s="62" t="s">
        <v>264</v>
      </c>
      <c r="C89" s="63" t="s">
        <v>115</v>
      </c>
      <c r="D89" s="64">
        <v>1.142298836E9</v>
      </c>
      <c r="E89" s="44">
        <f t="shared" si="8"/>
        <v>36039528276</v>
      </c>
      <c r="F89" s="45">
        <v>3.1E9</v>
      </c>
      <c r="G89" s="46">
        <f t="shared" si="2"/>
        <v>11.62565428</v>
      </c>
      <c r="H89" s="65">
        <v>13.8</v>
      </c>
      <c r="I89" s="48">
        <f t="shared" si="3"/>
        <v>-0.1575612839</v>
      </c>
      <c r="J89" s="66">
        <v>0.0235</v>
      </c>
      <c r="K89" s="50">
        <v>2.9</v>
      </c>
      <c r="L89" s="51">
        <f t="shared" si="9"/>
        <v>2.713825754</v>
      </c>
      <c r="M89" s="67">
        <v>0.55</v>
      </c>
      <c r="N89" s="51">
        <f t="shared" si="10"/>
        <v>1.492604165</v>
      </c>
      <c r="O89" s="53">
        <f t="shared" si="6"/>
        <v>0.04730916529</v>
      </c>
      <c r="P89" s="191">
        <f>IFERROR(__xludf.DUMMYFUNCTION("GOOGLEFINANCE(""BVMF:EGIE3"")"),31.55)</f>
        <v>31.55</v>
      </c>
      <c r="Q89" s="55">
        <f>N89/0.06</f>
        <v>24.87673608</v>
      </c>
      <c r="R89" s="56">
        <f t="shared" si="7"/>
        <v>-0.2682531945</v>
      </c>
      <c r="S89" s="80" t="s">
        <v>36</v>
      </c>
      <c r="T89" s="181" t="s">
        <v>265</v>
      </c>
      <c r="U89" s="58">
        <v>46091.0</v>
      </c>
    </row>
    <row r="90" ht="15.75" customHeight="1">
      <c r="A90" s="22" t="s">
        <v>266</v>
      </c>
      <c r="B90" s="23" t="s">
        <v>267</v>
      </c>
      <c r="C90" s="108" t="s">
        <v>107</v>
      </c>
      <c r="D90" s="113">
        <v>3.19560973E9</v>
      </c>
      <c r="E90" s="26">
        <f t="shared" si="8"/>
        <v>129869579427</v>
      </c>
      <c r="F90" s="27">
        <v>7.0E9</v>
      </c>
      <c r="G90" s="28">
        <f t="shared" si="2"/>
        <v>18.55279706</v>
      </c>
      <c r="H90" s="29">
        <v>15.5</v>
      </c>
      <c r="I90" s="30">
        <f t="shared" si="3"/>
        <v>0.1969546491</v>
      </c>
      <c r="J90" s="31">
        <v>0.041</v>
      </c>
      <c r="K90" s="32">
        <v>0.4</v>
      </c>
      <c r="L90" s="33">
        <f t="shared" si="9"/>
        <v>2.190505284</v>
      </c>
      <c r="M90" s="109">
        <v>1.0</v>
      </c>
      <c r="N90" s="33">
        <f t="shared" si="10"/>
        <v>2.190505284</v>
      </c>
      <c r="O90" s="35">
        <f t="shared" si="6"/>
        <v>0.05390022845</v>
      </c>
      <c r="P90" s="190">
        <f>IFERROR(__xludf.DUMMYFUNCTION("GOOGLEFINANCE(""BVMF:VIVT3"")"),40.64)</f>
        <v>40.64</v>
      </c>
      <c r="Q90" s="33">
        <f>N90/0.07</f>
        <v>31.29293263</v>
      </c>
      <c r="R90" s="38">
        <f t="shared" si="7"/>
        <v>-0.2986957943</v>
      </c>
      <c r="S90" s="24" t="s">
        <v>268</v>
      </c>
      <c r="T90" s="180" t="s">
        <v>269</v>
      </c>
      <c r="U90" s="39">
        <v>46091.0</v>
      </c>
    </row>
    <row r="91" ht="15.75" customHeight="1">
      <c r="A91" s="61" t="s">
        <v>270</v>
      </c>
      <c r="B91" s="62" t="s">
        <v>271</v>
      </c>
      <c r="C91" s="63" t="s">
        <v>272</v>
      </c>
      <c r="D91" s="129">
        <v>1.5727892789E10</v>
      </c>
      <c r="E91" s="44">
        <f t="shared" si="8"/>
        <v>235918391835</v>
      </c>
      <c r="F91" s="45">
        <v>1.53E10</v>
      </c>
      <c r="G91" s="46">
        <f t="shared" si="2"/>
        <v>15.41950273</v>
      </c>
      <c r="H91" s="65">
        <v>22.0</v>
      </c>
      <c r="I91" s="48">
        <f t="shared" si="3"/>
        <v>-0.2991135121</v>
      </c>
      <c r="J91" s="66">
        <v>0.053</v>
      </c>
      <c r="K91" s="82">
        <v>-0.57</v>
      </c>
      <c r="L91" s="51">
        <f t="shared" si="9"/>
        <v>0.9727940167</v>
      </c>
      <c r="M91" s="67">
        <v>0.9</v>
      </c>
      <c r="N91" s="51">
        <f t="shared" si="10"/>
        <v>0.875514615</v>
      </c>
      <c r="O91" s="53">
        <f t="shared" si="6"/>
        <v>0.058367641</v>
      </c>
      <c r="P91" s="191">
        <f>IFERROR(__xludf.DUMMYFUNCTION("GOOGLEFINANCE(""BVMF:ABEV3"")"),15.0)</f>
        <v>15</v>
      </c>
      <c r="Q91" s="55">
        <v>11.5</v>
      </c>
      <c r="R91" s="56">
        <f t="shared" si="7"/>
        <v>-0.3043478261</v>
      </c>
      <c r="S91" s="80" t="s">
        <v>111</v>
      </c>
      <c r="T91" s="181" t="s">
        <v>253</v>
      </c>
      <c r="U91" s="58">
        <v>46091.0</v>
      </c>
    </row>
    <row r="92" ht="15.75" customHeight="1">
      <c r="A92" s="132" t="s">
        <v>273</v>
      </c>
      <c r="B92" s="133" t="s">
        <v>274</v>
      </c>
      <c r="C92" s="134" t="s">
        <v>115</v>
      </c>
      <c r="D92" s="100">
        <v>2.517311233E9</v>
      </c>
      <c r="E92" s="26">
        <f t="shared" si="8"/>
        <v>25072419881</v>
      </c>
      <c r="F92" s="27">
        <v>2.3E9</v>
      </c>
      <c r="G92" s="28">
        <f t="shared" si="2"/>
        <v>10.90105212</v>
      </c>
      <c r="H92" s="101">
        <v>9.2</v>
      </c>
      <c r="I92" s="30">
        <f t="shared" si="3"/>
        <v>0.1848969698</v>
      </c>
      <c r="J92" s="135">
        <v>0.069</v>
      </c>
      <c r="K92" s="32">
        <v>3.6</v>
      </c>
      <c r="L92" s="33">
        <f t="shared" si="9"/>
        <v>0.9136732756</v>
      </c>
      <c r="M92" s="136">
        <v>0.5</v>
      </c>
      <c r="N92" s="33">
        <f t="shared" si="10"/>
        <v>0.4568366378</v>
      </c>
      <c r="O92" s="35">
        <f t="shared" si="6"/>
        <v>0.04586713231</v>
      </c>
      <c r="P92" s="204">
        <f>IFERROR(__xludf.DUMMYFUNCTION("GOOGLEFINANCE(""BVMF:ENGI4"")"),9.96)</f>
        <v>9.96</v>
      </c>
      <c r="Q92" s="137">
        <f>N92/0.06</f>
        <v>7.613943963</v>
      </c>
      <c r="R92" s="38">
        <f t="shared" si="7"/>
        <v>-0.3081262546</v>
      </c>
      <c r="S92" s="138" t="s">
        <v>36</v>
      </c>
      <c r="T92" s="205" t="s">
        <v>275</v>
      </c>
      <c r="U92" s="39">
        <v>46091.0</v>
      </c>
    </row>
    <row r="93" ht="15.75" customHeight="1">
      <c r="A93" s="61" t="s">
        <v>276</v>
      </c>
      <c r="B93" s="62" t="s">
        <v>277</v>
      </c>
      <c r="C93" s="80" t="s">
        <v>174</v>
      </c>
      <c r="D93" s="129">
        <v>1.11451092E9</v>
      </c>
      <c r="E93" s="44">
        <f t="shared" si="8"/>
        <v>32755475939</v>
      </c>
      <c r="F93" s="45">
        <v>2.6E9</v>
      </c>
      <c r="G93" s="46">
        <f t="shared" si="2"/>
        <v>12.59825998</v>
      </c>
      <c r="H93" s="65">
        <v>9.0</v>
      </c>
      <c r="I93" s="48">
        <f t="shared" si="3"/>
        <v>0.3998066641</v>
      </c>
      <c r="J93" s="66">
        <v>0.075</v>
      </c>
      <c r="K93" s="82">
        <v>2.22</v>
      </c>
      <c r="L93" s="51">
        <f t="shared" si="9"/>
        <v>2.332861844</v>
      </c>
      <c r="M93" s="83">
        <v>0.5</v>
      </c>
      <c r="N93" s="51">
        <f t="shared" si="10"/>
        <v>1.166430922</v>
      </c>
      <c r="O93" s="53">
        <f t="shared" si="6"/>
        <v>0.03968802048</v>
      </c>
      <c r="P93" s="111">
        <f>IFERROR(__xludf.DUMMYFUNCTION("GOOGLEFINANCE(""BVMF:VBBR3"")"),29.39)</f>
        <v>29.39</v>
      </c>
      <c r="Q93" s="55">
        <v>22.0</v>
      </c>
      <c r="R93" s="56">
        <f t="shared" si="7"/>
        <v>-0.3359090909</v>
      </c>
      <c r="S93" s="80" t="s">
        <v>36</v>
      </c>
      <c r="T93" s="130" t="s">
        <v>278</v>
      </c>
      <c r="U93" s="58">
        <v>46091.0</v>
      </c>
    </row>
    <row r="94" ht="15.75" customHeight="1">
      <c r="A94" s="97"/>
      <c r="B94" s="98"/>
      <c r="C94" s="99"/>
      <c r="D94" s="206"/>
      <c r="E94" s="26"/>
      <c r="F94" s="26"/>
      <c r="G94" s="28"/>
      <c r="H94" s="149"/>
      <c r="I94" s="30"/>
      <c r="J94" s="207"/>
      <c r="K94" s="208"/>
      <c r="L94" s="204"/>
      <c r="M94" s="209"/>
      <c r="N94" s="33"/>
      <c r="O94" s="210"/>
      <c r="P94" s="204"/>
      <c r="Q94" s="204"/>
      <c r="R94" s="38"/>
      <c r="S94" s="186"/>
      <c r="T94" s="187"/>
      <c r="U94" s="211"/>
    </row>
    <row r="95" ht="15.75" customHeight="1">
      <c r="I95" s="212"/>
      <c r="J95" s="212"/>
    </row>
    <row r="96" ht="15.75" customHeight="1">
      <c r="I96" s="212"/>
      <c r="J96" s="212"/>
    </row>
    <row r="97" ht="15.75" customHeight="1">
      <c r="I97" s="212"/>
      <c r="J97" s="212"/>
    </row>
    <row r="98" ht="15.75" customHeight="1">
      <c r="A98" s="213"/>
      <c r="I98" s="212"/>
      <c r="J98" s="212"/>
    </row>
    <row r="99" ht="15.75" customHeight="1">
      <c r="I99" s="212"/>
      <c r="J99" s="212"/>
    </row>
    <row r="100" ht="15.75" customHeight="1">
      <c r="I100" s="212"/>
      <c r="J100" s="21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autoFilter ref="$A$3:$U$94">
    <sortState ref="A3:U94">
      <sortCondition descending="1" ref="R3:R94"/>
      <sortCondition descending="1" ref="O3:O94"/>
      <sortCondition descending="1" ref="Q3:Q94"/>
      <sortCondition ref="A3:A94"/>
      <sortCondition descending="1" ref="U3:U94"/>
      <sortCondition descending="1" ref="G3:G94"/>
      <sortCondition ref="E3:E94"/>
      <sortCondition ref="B3:B94"/>
    </sortState>
  </autoFilter>
  <conditionalFormatting sqref="A1:A2">
    <cfRule type="notContainsBlanks" dxfId="1" priority="1">
      <formula>LEN(TRIM(A1))&gt;0</formula>
    </cfRule>
  </conditionalFormatting>
  <conditionalFormatting sqref="I4:I95">
    <cfRule type="cellIs" dxfId="2" priority="2" operator="lessThanOrEqual">
      <formula>0</formula>
    </cfRule>
  </conditionalFormatting>
  <conditionalFormatting sqref="J4:J94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4:R94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4:O99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4:I195">
    <cfRule type="cellIs" dxfId="3" priority="6" operator="greaterThanOrEqual">
      <formula>0</formula>
    </cfRule>
  </conditionalFormatting>
  <conditionalFormatting sqref="M4:M94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4:K94">
    <cfRule type="colorScale" priority="8">
      <colorScale>
        <cfvo type="min"/>
        <cfvo type="formula" val="2"/>
        <cfvo type="max"/>
        <color rgb="FF57BB8A"/>
        <color rgb="FFFFFFFF"/>
        <color rgb="FFE67C73"/>
      </colorScale>
    </cfRule>
  </conditionalFormatting>
  <hyperlinks>
    <hyperlink r:id="rId1" ref="B1"/>
  </hyperlinks>
  <printOptions/>
  <pageMargins bottom="0.787401575" footer="0.0" header="0.0" left="0.511811024" right="0.511811024" top="0.7874015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16.88"/>
    <col customWidth="1" min="2" max="2" width="13.75"/>
    <col customWidth="1" min="3" max="3" width="23.38"/>
    <col customWidth="1" min="4" max="4" width="17.63"/>
    <col customWidth="1" min="5" max="6" width="25.63"/>
    <col customWidth="1" min="7" max="10" width="11.63"/>
    <col customWidth="1" min="11" max="12" width="13.63"/>
    <col customWidth="1" min="13" max="13" width="11.63"/>
    <col customWidth="1" min="14" max="14" width="14.25"/>
    <col customWidth="1" min="15" max="15" width="13.25"/>
    <col customWidth="1" min="16" max="16" width="11.63"/>
    <col customWidth="1" min="17" max="17" width="33.5"/>
    <col customWidth="1" min="18" max="19" width="11.63"/>
    <col customWidth="1" min="20" max="20" width="17.63"/>
    <col customWidth="1" min="21" max="21" width="11.63"/>
  </cols>
  <sheetData>
    <row r="1" ht="24.75" customHeight="1">
      <c r="A1" s="1" t="s">
        <v>279</v>
      </c>
      <c r="B1" s="214" t="s">
        <v>1</v>
      </c>
      <c r="C1" s="3"/>
      <c r="D1" s="4"/>
      <c r="E1" s="4"/>
      <c r="F1" s="5"/>
      <c r="G1" s="4"/>
      <c r="H1" s="5"/>
      <c r="I1" s="5"/>
      <c r="J1" s="5"/>
      <c r="K1" s="5"/>
      <c r="L1" s="5"/>
      <c r="M1" s="4"/>
      <c r="N1" s="6"/>
      <c r="O1" s="7"/>
      <c r="P1" s="7"/>
      <c r="Q1" s="7"/>
      <c r="R1" s="7"/>
      <c r="S1" s="8"/>
      <c r="T1" s="5"/>
      <c r="U1" s="9"/>
    </row>
    <row r="2" ht="24.75" customHeight="1">
      <c r="A2" s="215"/>
      <c r="B2" s="216"/>
      <c r="C2" s="216"/>
      <c r="D2" s="217"/>
      <c r="E2" s="217"/>
      <c r="F2" s="218"/>
      <c r="G2" s="217"/>
      <c r="H2" s="218"/>
      <c r="I2" s="218"/>
      <c r="J2" s="218"/>
      <c r="K2" s="218"/>
      <c r="L2" s="218"/>
      <c r="M2" s="217"/>
      <c r="N2" s="219"/>
      <c r="O2" s="220"/>
      <c r="P2" s="220"/>
      <c r="Q2" s="220"/>
      <c r="R2" s="220"/>
      <c r="S2" s="215"/>
      <c r="T2" s="218"/>
      <c r="U2" s="221"/>
    </row>
    <row r="3" ht="31.5" customHeight="1">
      <c r="A3" s="17" t="s">
        <v>2</v>
      </c>
      <c r="B3" s="17" t="s">
        <v>3</v>
      </c>
      <c r="C3" s="18" t="s">
        <v>4</v>
      </c>
      <c r="D3" s="19" t="s">
        <v>5</v>
      </c>
      <c r="E3" s="20" t="s">
        <v>6</v>
      </c>
      <c r="F3" s="21" t="s">
        <v>7</v>
      </c>
      <c r="G3" s="19" t="s">
        <v>8</v>
      </c>
      <c r="H3" s="19" t="s">
        <v>9</v>
      </c>
      <c r="I3" s="19" t="s">
        <v>10</v>
      </c>
      <c r="J3" s="19" t="s">
        <v>11</v>
      </c>
      <c r="K3" s="19" t="s">
        <v>12</v>
      </c>
      <c r="L3" s="19" t="s">
        <v>13</v>
      </c>
      <c r="M3" s="19" t="s">
        <v>14</v>
      </c>
      <c r="N3" s="19" t="s">
        <v>15</v>
      </c>
      <c r="O3" s="19" t="s">
        <v>16</v>
      </c>
      <c r="P3" s="19" t="s">
        <v>17</v>
      </c>
      <c r="Q3" s="21" t="s">
        <v>280</v>
      </c>
      <c r="R3" s="17" t="s">
        <v>19</v>
      </c>
      <c r="S3" s="17" t="s">
        <v>20</v>
      </c>
      <c r="T3" s="17" t="s">
        <v>21</v>
      </c>
      <c r="U3" s="17" t="s">
        <v>22</v>
      </c>
    </row>
    <row r="4" ht="15.75" customHeight="1">
      <c r="A4" s="222" t="s">
        <v>85</v>
      </c>
      <c r="B4" s="223" t="s">
        <v>86</v>
      </c>
      <c r="C4" s="224" t="s">
        <v>57</v>
      </c>
      <c r="D4" s="225">
        <v>4.9918078E8</v>
      </c>
      <c r="E4" s="226">
        <f t="shared" ref="E4:E92" si="1">D4*P4</f>
        <v>14436308158</v>
      </c>
      <c r="F4" s="227">
        <v>1.5E9</v>
      </c>
      <c r="G4" s="228">
        <f t="shared" ref="G4:G93" si="2">P4/L4</f>
        <v>9.624205438</v>
      </c>
      <c r="H4" s="229">
        <v>14.4</v>
      </c>
      <c r="I4" s="230">
        <f t="shared" ref="I4:I93" si="3">(G4/H4-1)</f>
        <v>-0.3316524001</v>
      </c>
      <c r="J4" s="231">
        <v>0.365</v>
      </c>
      <c r="K4" s="232">
        <v>1.8</v>
      </c>
      <c r="L4" s="233">
        <f t="shared" ref="L4:L92" si="4">F4/D4</f>
        <v>3.004923387</v>
      </c>
      <c r="M4" s="234">
        <v>1.158</v>
      </c>
      <c r="N4" s="233">
        <f t="shared" ref="N4:N35" si="5">M4*L4</f>
        <v>3.479701282</v>
      </c>
      <c r="O4" s="235">
        <f t="shared" ref="O4:O93" si="6">N4/P4</f>
        <v>0.1203216211</v>
      </c>
      <c r="P4" s="236">
        <f>IFERROR(__xludf.DUMMYFUNCTION("GOOGLEFINANCE(""BVMF:ALOS3"")"),28.92)</f>
        <v>28.92</v>
      </c>
      <c r="Q4" s="237">
        <f t="shared" ref="Q4:Q93" si="7">N4/0.0755</f>
        <v>46.0887587</v>
      </c>
      <c r="R4" s="238">
        <f t="shared" ref="R4:R93" si="8">1-(P4/Q4)</f>
        <v>0.3725151031</v>
      </c>
      <c r="S4" s="224" t="s">
        <v>41</v>
      </c>
      <c r="T4" s="239" t="s">
        <v>87</v>
      </c>
      <c r="U4" s="240">
        <v>46091.0</v>
      </c>
    </row>
    <row r="5" ht="15.75" customHeight="1">
      <c r="A5" s="40" t="s">
        <v>168</v>
      </c>
      <c r="B5" s="41" t="s">
        <v>169</v>
      </c>
      <c r="C5" s="106" t="s">
        <v>30</v>
      </c>
      <c r="D5" s="43">
        <v>2.48904657E8</v>
      </c>
      <c r="E5" s="44">
        <f t="shared" si="1"/>
        <v>18244711358</v>
      </c>
      <c r="F5" s="45">
        <v>2.76E9</v>
      </c>
      <c r="G5" s="46">
        <f t="shared" si="2"/>
        <v>6.610402666</v>
      </c>
      <c r="H5" s="47">
        <v>21.4</v>
      </c>
      <c r="I5" s="48">
        <f t="shared" si="3"/>
        <v>-0.6911026792</v>
      </c>
      <c r="J5" s="49">
        <v>0.1</v>
      </c>
      <c r="K5" s="50">
        <v>0.0</v>
      </c>
      <c r="L5" s="51">
        <f t="shared" si="4"/>
        <v>11.08858321</v>
      </c>
      <c r="M5" s="52">
        <v>0.7</v>
      </c>
      <c r="N5" s="51">
        <f t="shared" si="5"/>
        <v>7.762008246</v>
      </c>
      <c r="O5" s="53">
        <f t="shared" si="6"/>
        <v>0.1058937005</v>
      </c>
      <c r="P5" s="165">
        <f>IFERROR(__xludf.DUMMYFUNCTION("GOOGLEFINANCE(""BVMF:STOC34"")"),73.3)</f>
        <v>73.3</v>
      </c>
      <c r="Q5" s="55">
        <f t="shared" si="7"/>
        <v>102.8080562</v>
      </c>
      <c r="R5" s="56">
        <f t="shared" si="8"/>
        <v>0.2870208553</v>
      </c>
      <c r="S5" s="42" t="s">
        <v>66</v>
      </c>
      <c r="T5" s="57" t="s">
        <v>66</v>
      </c>
      <c r="U5" s="58">
        <v>46094.0</v>
      </c>
    </row>
    <row r="6" ht="15.75" customHeight="1">
      <c r="A6" s="241" t="s">
        <v>82</v>
      </c>
      <c r="B6" s="242" t="s">
        <v>83</v>
      </c>
      <c r="C6" s="243" t="s">
        <v>65</v>
      </c>
      <c r="D6" s="225">
        <v>1.941214909E9</v>
      </c>
      <c r="E6" s="226">
        <f t="shared" si="1"/>
        <v>68039582560</v>
      </c>
      <c r="F6" s="227">
        <v>8.1E9</v>
      </c>
      <c r="G6" s="228">
        <f t="shared" si="2"/>
        <v>8.399948464</v>
      </c>
      <c r="H6" s="244">
        <v>12.1</v>
      </c>
      <c r="I6" s="230">
        <f t="shared" si="3"/>
        <v>-0.3057893831</v>
      </c>
      <c r="J6" s="245">
        <v>0.183</v>
      </c>
      <c r="K6" s="232">
        <v>0.0</v>
      </c>
      <c r="L6" s="233">
        <f t="shared" si="4"/>
        <v>4.172644648</v>
      </c>
      <c r="M6" s="246">
        <v>0.88</v>
      </c>
      <c r="N6" s="233">
        <f t="shared" si="5"/>
        <v>3.67192729</v>
      </c>
      <c r="O6" s="235">
        <f t="shared" si="6"/>
        <v>0.1047625475</v>
      </c>
      <c r="P6" s="247">
        <f>IFERROR(__xludf.DUMMYFUNCTION("GOOGLEFINANCE(""BVMF:BBSE3"")"),35.05)</f>
        <v>35.05</v>
      </c>
      <c r="Q6" s="237">
        <f t="shared" si="7"/>
        <v>48.63479854</v>
      </c>
      <c r="R6" s="238">
        <f t="shared" si="8"/>
        <v>0.2793226034</v>
      </c>
      <c r="S6" s="243" t="s">
        <v>75</v>
      </c>
      <c r="T6" s="243" t="s">
        <v>84</v>
      </c>
      <c r="U6" s="240">
        <v>46091.0</v>
      </c>
    </row>
    <row r="7" ht="15.75" customHeight="1">
      <c r="A7" s="61" t="s">
        <v>47</v>
      </c>
      <c r="B7" s="62" t="s">
        <v>48</v>
      </c>
      <c r="C7" s="80" t="s">
        <v>49</v>
      </c>
      <c r="D7" s="64">
        <v>6.31845354E8</v>
      </c>
      <c r="E7" s="44">
        <f t="shared" si="1"/>
        <v>2988628524</v>
      </c>
      <c r="F7" s="45">
        <v>6.0E8</v>
      </c>
      <c r="G7" s="46">
        <f t="shared" si="2"/>
        <v>4.981047541</v>
      </c>
      <c r="H7" s="81">
        <v>8.3</v>
      </c>
      <c r="I7" s="48">
        <f t="shared" si="3"/>
        <v>-0.3998737903</v>
      </c>
      <c r="J7" s="66">
        <v>0.0026</v>
      </c>
      <c r="K7" s="82">
        <v>0.0</v>
      </c>
      <c r="L7" s="51">
        <f t="shared" si="4"/>
        <v>0.949599449</v>
      </c>
      <c r="M7" s="83">
        <v>0.5</v>
      </c>
      <c r="N7" s="51">
        <f t="shared" si="5"/>
        <v>0.4747997245</v>
      </c>
      <c r="O7" s="53">
        <f t="shared" si="6"/>
        <v>0.1003804914</v>
      </c>
      <c r="P7" s="68">
        <f>IFERROR(__xludf.DUMMYFUNCTION("GOOGLEFINANCE(""BVMF:BMGB4"")"),4.73)</f>
        <v>4.73</v>
      </c>
      <c r="Q7" s="55">
        <f t="shared" si="7"/>
        <v>6.288738073</v>
      </c>
      <c r="R7" s="56">
        <f t="shared" si="8"/>
        <v>0.2478618214</v>
      </c>
      <c r="S7" s="80" t="s">
        <v>31</v>
      </c>
      <c r="T7" s="80" t="s">
        <v>50</v>
      </c>
      <c r="U7" s="58">
        <v>46091.0</v>
      </c>
    </row>
    <row r="8" ht="15.75" customHeight="1">
      <c r="A8" s="248" t="s">
        <v>204</v>
      </c>
      <c r="B8" s="249" t="s">
        <v>205</v>
      </c>
      <c r="C8" s="250" t="s">
        <v>206</v>
      </c>
      <c r="D8" s="251">
        <v>6.58316448E8</v>
      </c>
      <c r="E8" s="226">
        <f t="shared" si="1"/>
        <v>5661521453</v>
      </c>
      <c r="F8" s="227">
        <v>6.0E8</v>
      </c>
      <c r="G8" s="228">
        <f t="shared" si="2"/>
        <v>9.435869088</v>
      </c>
      <c r="H8" s="252">
        <v>5.4</v>
      </c>
      <c r="I8" s="230">
        <f t="shared" si="3"/>
        <v>0.7473831644</v>
      </c>
      <c r="J8" s="231">
        <v>0.1529</v>
      </c>
      <c r="K8" s="253">
        <v>1.86</v>
      </c>
      <c r="L8" s="233">
        <f t="shared" si="4"/>
        <v>0.9114157816</v>
      </c>
      <c r="M8" s="234">
        <v>0.9</v>
      </c>
      <c r="N8" s="233">
        <f t="shared" si="5"/>
        <v>0.8202742034</v>
      </c>
      <c r="O8" s="235">
        <f t="shared" si="6"/>
        <v>0.09538072133</v>
      </c>
      <c r="P8" s="233">
        <f>IFERROR(__xludf.DUMMYFUNCTION("GOOGLEFINANCE(""BVMF:JHSF3"")"),8.6)</f>
        <v>8.6</v>
      </c>
      <c r="Q8" s="237">
        <f t="shared" si="7"/>
        <v>10.86455899</v>
      </c>
      <c r="R8" s="238">
        <f t="shared" si="8"/>
        <v>0.2084354265</v>
      </c>
      <c r="S8" s="254" t="s">
        <v>41</v>
      </c>
      <c r="T8" s="255" t="s">
        <v>42</v>
      </c>
      <c r="U8" s="240">
        <v>46091.0</v>
      </c>
    </row>
    <row r="9" ht="15.75" customHeight="1">
      <c r="A9" s="85" t="s">
        <v>59</v>
      </c>
      <c r="B9" s="86" t="s">
        <v>60</v>
      </c>
      <c r="C9" s="95" t="s">
        <v>61</v>
      </c>
      <c r="D9" s="43">
        <v>1.241439543E9</v>
      </c>
      <c r="E9" s="44">
        <f t="shared" si="1"/>
        <v>6852746277</v>
      </c>
      <c r="F9" s="45">
        <v>1.3E9</v>
      </c>
      <c r="G9" s="46">
        <f t="shared" si="2"/>
        <v>5.27134329</v>
      </c>
      <c r="H9" s="47">
        <v>10.8</v>
      </c>
      <c r="I9" s="48">
        <f t="shared" si="3"/>
        <v>-0.5119126583</v>
      </c>
      <c r="J9" s="256">
        <v>0.682</v>
      </c>
      <c r="K9" s="90">
        <v>0.85</v>
      </c>
      <c r="L9" s="51">
        <f t="shared" si="4"/>
        <v>1.047171413</v>
      </c>
      <c r="M9" s="119">
        <v>0.5</v>
      </c>
      <c r="N9" s="92">
        <f t="shared" si="5"/>
        <v>0.5235857063</v>
      </c>
      <c r="O9" s="53">
        <f t="shared" si="6"/>
        <v>0.09485248303</v>
      </c>
      <c r="P9" s="93">
        <f>IFERROR(__xludf.DUMMYFUNCTION("GOOGLEFINANCE(""BVMF:POMO3"")"),5.52)</f>
        <v>5.52</v>
      </c>
      <c r="Q9" s="55">
        <f t="shared" si="7"/>
        <v>6.934910018</v>
      </c>
      <c r="R9" s="56">
        <f t="shared" si="8"/>
        <v>0.2040271632</v>
      </c>
      <c r="S9" s="122" t="s">
        <v>31</v>
      </c>
      <c r="T9" s="96" t="s">
        <v>62</v>
      </c>
      <c r="U9" s="58">
        <v>46091.0</v>
      </c>
    </row>
    <row r="10" ht="15.75" customHeight="1">
      <c r="A10" s="241" t="s">
        <v>97</v>
      </c>
      <c r="B10" s="242" t="s">
        <v>98</v>
      </c>
      <c r="C10" s="243" t="s">
        <v>49</v>
      </c>
      <c r="D10" s="257">
        <v>4.08974E8</v>
      </c>
      <c r="E10" s="226">
        <f t="shared" si="1"/>
        <v>6919840080</v>
      </c>
      <c r="F10" s="227">
        <v>1.4E9</v>
      </c>
      <c r="G10" s="228">
        <f t="shared" si="2"/>
        <v>4.942742914</v>
      </c>
      <c r="H10" s="258">
        <v>6.5</v>
      </c>
      <c r="I10" s="230">
        <f t="shared" si="3"/>
        <v>-0.2395780132</v>
      </c>
      <c r="J10" s="245">
        <v>0.011</v>
      </c>
      <c r="K10" s="232">
        <v>0.0</v>
      </c>
      <c r="L10" s="233">
        <f t="shared" si="4"/>
        <v>3.423200497</v>
      </c>
      <c r="M10" s="246">
        <v>0.45</v>
      </c>
      <c r="N10" s="233">
        <f t="shared" si="5"/>
        <v>1.540440224</v>
      </c>
      <c r="O10" s="235">
        <f t="shared" si="6"/>
        <v>0.09104256641</v>
      </c>
      <c r="P10" s="247">
        <f>IFERROR(__xludf.DUMMYFUNCTION("GOOGLEFINANCE(""BVMF:BRSR6"")"),16.92)</f>
        <v>16.92</v>
      </c>
      <c r="Q10" s="237">
        <f t="shared" si="7"/>
        <v>20.40318177</v>
      </c>
      <c r="R10" s="238">
        <f t="shared" si="8"/>
        <v>0.1707175777</v>
      </c>
      <c r="S10" s="243" t="s">
        <v>31</v>
      </c>
      <c r="T10" s="243" t="s">
        <v>99</v>
      </c>
      <c r="U10" s="240">
        <v>46091.0</v>
      </c>
    </row>
    <row r="11" ht="15.75" customHeight="1">
      <c r="A11" s="123" t="s">
        <v>59</v>
      </c>
      <c r="B11" s="124" t="s">
        <v>130</v>
      </c>
      <c r="C11" s="127" t="s">
        <v>61</v>
      </c>
      <c r="D11" s="43">
        <v>1.241439543E9</v>
      </c>
      <c r="E11" s="44">
        <f t="shared" si="1"/>
        <v>7312078908</v>
      </c>
      <c r="F11" s="45">
        <v>1.3E9</v>
      </c>
      <c r="G11" s="46">
        <f t="shared" si="2"/>
        <v>5.624676083</v>
      </c>
      <c r="H11" s="88">
        <v>9.7</v>
      </c>
      <c r="I11" s="48">
        <f t="shared" si="3"/>
        <v>-0.4201364863</v>
      </c>
      <c r="J11" s="110">
        <v>0.682</v>
      </c>
      <c r="K11" s="82">
        <v>0.85</v>
      </c>
      <c r="L11" s="51">
        <f t="shared" si="4"/>
        <v>1.047171413</v>
      </c>
      <c r="M11" s="67">
        <v>0.5</v>
      </c>
      <c r="N11" s="51">
        <f t="shared" si="5"/>
        <v>0.5235857063</v>
      </c>
      <c r="O11" s="53">
        <f t="shared" si="6"/>
        <v>0.08889400787</v>
      </c>
      <c r="P11" s="54">
        <f>IFERROR(__xludf.DUMMYFUNCTION("GOOGLEFINANCE(""BVMF:POMO4"")"),5.89)</f>
        <v>5.89</v>
      </c>
      <c r="Q11" s="55">
        <f t="shared" si="7"/>
        <v>6.934910018</v>
      </c>
      <c r="R11" s="56">
        <f t="shared" si="8"/>
        <v>0.1506739114</v>
      </c>
      <c r="S11" s="80" t="s">
        <v>31</v>
      </c>
      <c r="T11" s="128" t="s">
        <v>62</v>
      </c>
      <c r="U11" s="58">
        <v>46091.0</v>
      </c>
    </row>
    <row r="12" ht="15.75" customHeight="1">
      <c r="A12" s="259" t="s">
        <v>126</v>
      </c>
      <c r="B12" s="260" t="s">
        <v>127</v>
      </c>
      <c r="C12" s="259" t="s">
        <v>128</v>
      </c>
      <c r="D12" s="261">
        <v>1.35539E8</v>
      </c>
      <c r="E12" s="226">
        <f t="shared" si="1"/>
        <v>4667963160</v>
      </c>
      <c r="F12" s="227">
        <v>6.3E8</v>
      </c>
      <c r="G12" s="228">
        <f t="shared" si="2"/>
        <v>7.409465333</v>
      </c>
      <c r="H12" s="244">
        <v>11.2</v>
      </c>
      <c r="I12" s="230">
        <f t="shared" si="3"/>
        <v>-0.3384405952</v>
      </c>
      <c r="J12" s="262">
        <v>0.345</v>
      </c>
      <c r="K12" s="263">
        <v>0.87</v>
      </c>
      <c r="L12" s="233">
        <f t="shared" si="4"/>
        <v>4.648108662</v>
      </c>
      <c r="M12" s="264">
        <v>0.65</v>
      </c>
      <c r="N12" s="265">
        <f t="shared" si="5"/>
        <v>3.021270631</v>
      </c>
      <c r="O12" s="235">
        <f t="shared" si="6"/>
        <v>0.08772562807</v>
      </c>
      <c r="P12" s="266">
        <f>IFERROR(__xludf.DUMMYFUNCTION("GOOGLEFINANCE(""BVMF:LEVE3"")"),34.44)</f>
        <v>34.44</v>
      </c>
      <c r="Q12" s="237">
        <f t="shared" si="7"/>
        <v>40.01682954</v>
      </c>
      <c r="R12" s="238">
        <f t="shared" si="8"/>
        <v>0.1393621036</v>
      </c>
      <c r="S12" s="267" t="s">
        <v>75</v>
      </c>
      <c r="T12" s="267" t="s">
        <v>129</v>
      </c>
      <c r="U12" s="240">
        <v>46091.0</v>
      </c>
    </row>
    <row r="13" ht="15.75" customHeight="1">
      <c r="A13" s="61" t="s">
        <v>163</v>
      </c>
      <c r="B13" s="62" t="s">
        <v>164</v>
      </c>
      <c r="C13" s="63" t="s">
        <v>49</v>
      </c>
      <c r="D13" s="64">
        <v>2.44657E8</v>
      </c>
      <c r="E13" s="44">
        <f t="shared" si="1"/>
        <v>6295024610</v>
      </c>
      <c r="F13" s="45">
        <v>1.1E9</v>
      </c>
      <c r="G13" s="46">
        <f t="shared" si="2"/>
        <v>5.722749645</v>
      </c>
      <c r="H13" s="162">
        <v>6.7</v>
      </c>
      <c r="I13" s="48">
        <f t="shared" si="3"/>
        <v>-0.1458582619</v>
      </c>
      <c r="J13" s="268">
        <v>0.275</v>
      </c>
      <c r="K13" s="126">
        <v>0.0</v>
      </c>
      <c r="L13" s="51">
        <f t="shared" si="4"/>
        <v>4.496090445</v>
      </c>
      <c r="M13" s="67">
        <v>0.5</v>
      </c>
      <c r="N13" s="51">
        <f t="shared" si="5"/>
        <v>2.248045222</v>
      </c>
      <c r="O13" s="53">
        <f t="shared" si="6"/>
        <v>0.08737058774</v>
      </c>
      <c r="P13" s="111">
        <f>IFERROR(__xludf.DUMMYFUNCTION("GOOGLEFINANCE(""BVMF:ABCB4"")"),25.73)</f>
        <v>25.73</v>
      </c>
      <c r="Q13" s="55">
        <f t="shared" si="7"/>
        <v>29.77543341</v>
      </c>
      <c r="R13" s="56">
        <f t="shared" si="8"/>
        <v>0.1358648035</v>
      </c>
      <c r="S13" s="80" t="s">
        <v>75</v>
      </c>
      <c r="T13" s="80" t="s">
        <v>76</v>
      </c>
      <c r="U13" s="58">
        <v>46091.0</v>
      </c>
    </row>
    <row r="14" ht="15.75" customHeight="1">
      <c r="A14" s="248" t="s">
        <v>281</v>
      </c>
      <c r="B14" s="249" t="s">
        <v>143</v>
      </c>
      <c r="C14" s="250" t="s">
        <v>144</v>
      </c>
      <c r="D14" s="251">
        <v>3.35383253E8</v>
      </c>
      <c r="E14" s="226">
        <f t="shared" si="1"/>
        <v>7354954738</v>
      </c>
      <c r="F14" s="227">
        <v>8.0E8</v>
      </c>
      <c r="G14" s="228">
        <f t="shared" si="2"/>
        <v>9.193693423</v>
      </c>
      <c r="H14" s="252">
        <v>17.5</v>
      </c>
      <c r="I14" s="230">
        <f t="shared" si="3"/>
        <v>-0.4746460901</v>
      </c>
      <c r="J14" s="245">
        <v>0.055</v>
      </c>
      <c r="K14" s="253">
        <v>-0.5</v>
      </c>
      <c r="L14" s="233">
        <f t="shared" si="4"/>
        <v>2.385330791</v>
      </c>
      <c r="M14" s="246">
        <v>0.8</v>
      </c>
      <c r="N14" s="233">
        <f t="shared" si="5"/>
        <v>1.908264632</v>
      </c>
      <c r="O14" s="235">
        <f t="shared" si="6"/>
        <v>0.08701617111</v>
      </c>
      <c r="P14" s="247">
        <f>IFERROR(__xludf.DUMMYFUNCTION("GOOGLEFINANCE(""BVMF:MDIA3"")"),21.93)</f>
        <v>21.93</v>
      </c>
      <c r="Q14" s="237">
        <f t="shared" si="7"/>
        <v>25.27502824</v>
      </c>
      <c r="R14" s="238">
        <f t="shared" si="8"/>
        <v>0.1323451832</v>
      </c>
      <c r="S14" s="254" t="s">
        <v>41</v>
      </c>
      <c r="T14" s="269" t="s">
        <v>42</v>
      </c>
      <c r="U14" s="240">
        <v>46091.0</v>
      </c>
    </row>
    <row r="15" ht="15.75" customHeight="1">
      <c r="A15" s="40" t="s">
        <v>28</v>
      </c>
      <c r="B15" s="41" t="s">
        <v>29</v>
      </c>
      <c r="C15" s="106" t="s">
        <v>49</v>
      </c>
      <c r="D15" s="43">
        <f>279705823*5</f>
        <v>1398529115</v>
      </c>
      <c r="E15" s="44">
        <f t="shared" si="1"/>
        <v>13831452947</v>
      </c>
      <c r="F15" s="45">
        <v>2.55E9</v>
      </c>
      <c r="G15" s="46">
        <f t="shared" si="2"/>
        <v>5.424099195</v>
      </c>
      <c r="H15" s="47">
        <v>21.4</v>
      </c>
      <c r="I15" s="48">
        <f t="shared" si="3"/>
        <v>-0.7465374208</v>
      </c>
      <c r="J15" s="49">
        <v>0.158</v>
      </c>
      <c r="K15" s="50">
        <v>0.0</v>
      </c>
      <c r="L15" s="51">
        <f t="shared" si="4"/>
        <v>1.823344235</v>
      </c>
      <c r="M15" s="52">
        <v>0.4714</v>
      </c>
      <c r="N15" s="51">
        <f t="shared" si="5"/>
        <v>0.8595244726</v>
      </c>
      <c r="O15" s="53">
        <f t="shared" si="6"/>
        <v>0.0869084401</v>
      </c>
      <c r="P15" s="54">
        <f>IFERROR(__xludf.DUMMYFUNCTION("GOOGLEFINANCE(""BVMF:PAGS34"")"),9.89)</f>
        <v>9.89</v>
      </c>
      <c r="Q15" s="55">
        <f t="shared" si="7"/>
        <v>11.3844301</v>
      </c>
      <c r="R15" s="56">
        <f t="shared" si="8"/>
        <v>0.1312696453</v>
      </c>
      <c r="S15" s="42" t="s">
        <v>31</v>
      </c>
      <c r="T15" s="57" t="s">
        <v>32</v>
      </c>
      <c r="U15" s="58">
        <v>46091.0</v>
      </c>
    </row>
    <row r="16" ht="15.75" customHeight="1">
      <c r="A16" s="241" t="s">
        <v>191</v>
      </c>
      <c r="B16" s="242" t="s">
        <v>192</v>
      </c>
      <c r="C16" s="270" t="s">
        <v>178</v>
      </c>
      <c r="D16" s="257">
        <v>3.93097E8</v>
      </c>
      <c r="E16" s="226">
        <f t="shared" si="1"/>
        <v>8687443700</v>
      </c>
      <c r="F16" s="227">
        <v>1.67E9</v>
      </c>
      <c r="G16" s="228">
        <f t="shared" si="2"/>
        <v>5.202062096</v>
      </c>
      <c r="H16" s="244">
        <v>8.7</v>
      </c>
      <c r="I16" s="230">
        <f t="shared" si="3"/>
        <v>-0.4020618281</v>
      </c>
      <c r="J16" s="245">
        <v>-0.059</v>
      </c>
      <c r="K16" s="232">
        <v>-0.64</v>
      </c>
      <c r="L16" s="233">
        <f t="shared" si="4"/>
        <v>4.248315301</v>
      </c>
      <c r="M16" s="246">
        <v>0.45</v>
      </c>
      <c r="N16" s="233">
        <f t="shared" si="5"/>
        <v>1.911741886</v>
      </c>
      <c r="O16" s="235">
        <f t="shared" si="6"/>
        <v>0.08650415772</v>
      </c>
      <c r="P16" s="247">
        <f>IFERROR(__xludf.DUMMYFUNCTION("GOOGLEFINANCE(""BVMF:BRAP4"")"),22.1)</f>
        <v>22.1</v>
      </c>
      <c r="Q16" s="237">
        <f t="shared" si="7"/>
        <v>25.32108458</v>
      </c>
      <c r="R16" s="238">
        <f t="shared" si="8"/>
        <v>0.1272095817</v>
      </c>
      <c r="S16" s="243" t="s">
        <v>75</v>
      </c>
      <c r="T16" s="243" t="s">
        <v>193</v>
      </c>
      <c r="U16" s="240">
        <v>46091.0</v>
      </c>
    </row>
    <row r="17" ht="15.75" customHeight="1">
      <c r="A17" s="61" t="s">
        <v>165</v>
      </c>
      <c r="B17" s="62" t="s">
        <v>166</v>
      </c>
      <c r="C17" s="63" t="s">
        <v>30</v>
      </c>
      <c r="D17" s="271">
        <f>314987000/3</f>
        <v>104995666.7</v>
      </c>
      <c r="E17" s="44">
        <f t="shared" si="1"/>
        <v>1974968490</v>
      </c>
      <c r="F17" s="45">
        <v>2.1E8</v>
      </c>
      <c r="G17" s="46">
        <f t="shared" si="2"/>
        <v>9.404611857</v>
      </c>
      <c r="H17" s="65">
        <v>9.1</v>
      </c>
      <c r="I17" s="48">
        <f t="shared" si="3"/>
        <v>0.03347383046</v>
      </c>
      <c r="J17" s="110">
        <v>0.2</v>
      </c>
      <c r="K17" s="82">
        <v>0.0</v>
      </c>
      <c r="L17" s="51">
        <f t="shared" si="4"/>
        <v>2.000082543</v>
      </c>
      <c r="M17" s="67">
        <v>0.8</v>
      </c>
      <c r="N17" s="51">
        <f t="shared" si="5"/>
        <v>1.600066034</v>
      </c>
      <c r="O17" s="53">
        <f t="shared" si="6"/>
        <v>0.0850646483</v>
      </c>
      <c r="P17" s="272">
        <f>IFERROR(__xludf.DUMMYFUNCTION("GOOGLEFINANCE(""BVMF:BRBI11"")"),18.81)</f>
        <v>18.81</v>
      </c>
      <c r="Q17" s="55">
        <f t="shared" si="7"/>
        <v>21.19292761</v>
      </c>
      <c r="R17" s="56">
        <f t="shared" si="8"/>
        <v>0.112439756</v>
      </c>
      <c r="S17" s="80" t="s">
        <v>31</v>
      </c>
      <c r="T17" s="80" t="s">
        <v>167</v>
      </c>
      <c r="U17" s="58">
        <v>46091.0</v>
      </c>
    </row>
    <row r="18" ht="15.75" customHeight="1">
      <c r="A18" s="241" t="s">
        <v>100</v>
      </c>
      <c r="B18" s="242" t="s">
        <v>101</v>
      </c>
      <c r="C18" s="270" t="s">
        <v>102</v>
      </c>
      <c r="D18" s="257">
        <v>6.6003E7</v>
      </c>
      <c r="E18" s="226">
        <f t="shared" si="1"/>
        <v>2075794350</v>
      </c>
      <c r="F18" s="227">
        <v>2.2E8</v>
      </c>
      <c r="G18" s="228">
        <f t="shared" si="2"/>
        <v>9.435428864</v>
      </c>
      <c r="H18" s="244">
        <v>12.9</v>
      </c>
      <c r="I18" s="230">
        <f t="shared" si="3"/>
        <v>-0.2685714059</v>
      </c>
      <c r="J18" s="245">
        <v>0.307</v>
      </c>
      <c r="K18" s="232">
        <v>-0.35</v>
      </c>
      <c r="L18" s="233">
        <f t="shared" si="4"/>
        <v>3.333181825</v>
      </c>
      <c r="M18" s="246">
        <v>0.8</v>
      </c>
      <c r="N18" s="233">
        <f t="shared" si="5"/>
        <v>2.66654546</v>
      </c>
      <c r="O18" s="235">
        <f t="shared" si="6"/>
        <v>0.08478681908</v>
      </c>
      <c r="P18" s="247">
        <f>IFERROR(__xludf.DUMMYFUNCTION("GOOGLEFINANCE(""BVMF:TGMA3"")"),31.45)</f>
        <v>31.45</v>
      </c>
      <c r="Q18" s="237">
        <f t="shared" si="7"/>
        <v>35.31848291</v>
      </c>
      <c r="R18" s="238">
        <f t="shared" si="8"/>
        <v>0.109531401</v>
      </c>
      <c r="S18" s="243" t="s">
        <v>36</v>
      </c>
      <c r="T18" s="243" t="s">
        <v>103</v>
      </c>
      <c r="U18" s="240">
        <v>46091.0</v>
      </c>
    </row>
    <row r="19" ht="15.75" customHeight="1">
      <c r="A19" s="63" t="s">
        <v>225</v>
      </c>
      <c r="B19" s="273" t="s">
        <v>226</v>
      </c>
      <c r="C19" s="116" t="s">
        <v>115</v>
      </c>
      <c r="D19" s="129">
        <v>1.033496721E9</v>
      </c>
      <c r="E19" s="44">
        <f t="shared" si="1"/>
        <v>14313929586</v>
      </c>
      <c r="F19" s="45">
        <v>1.27E9</v>
      </c>
      <c r="G19" s="46">
        <f t="shared" si="2"/>
        <v>11.2708107</v>
      </c>
      <c r="H19" s="65">
        <v>8.6</v>
      </c>
      <c r="I19" s="48">
        <f t="shared" si="3"/>
        <v>0.3105593834</v>
      </c>
      <c r="J19" s="118">
        <v>-0.058</v>
      </c>
      <c r="K19" s="274">
        <v>4.1</v>
      </c>
      <c r="L19" s="51">
        <f t="shared" si="4"/>
        <v>1.228837958</v>
      </c>
      <c r="M19" s="119">
        <v>0.95</v>
      </c>
      <c r="N19" s="51">
        <f t="shared" si="5"/>
        <v>1.16739606</v>
      </c>
      <c r="O19" s="120">
        <f t="shared" si="6"/>
        <v>0.08428852418</v>
      </c>
      <c r="P19" s="121">
        <f>IFERROR(__xludf.DUMMYFUNCTION("GOOGLEFINANCE(""BVMF:TAEE3"")"),13.85)</f>
        <v>13.85</v>
      </c>
      <c r="Q19" s="55">
        <f t="shared" si="7"/>
        <v>15.46219947</v>
      </c>
      <c r="R19" s="56">
        <f t="shared" si="8"/>
        <v>0.1042671498</v>
      </c>
      <c r="S19" s="122" t="s">
        <v>31</v>
      </c>
      <c r="T19" s="80" t="s">
        <v>227</v>
      </c>
      <c r="U19" s="58">
        <v>46091.0</v>
      </c>
    </row>
    <row r="20" ht="15.75" customHeight="1">
      <c r="A20" s="270" t="s">
        <v>105</v>
      </c>
      <c r="B20" s="260" t="s">
        <v>106</v>
      </c>
      <c r="C20" s="259" t="s">
        <v>107</v>
      </c>
      <c r="D20" s="261">
        <v>2.42059868E9</v>
      </c>
      <c r="E20" s="226">
        <f t="shared" si="1"/>
        <v>64387924888</v>
      </c>
      <c r="F20" s="227">
        <v>5.4E9</v>
      </c>
      <c r="G20" s="228">
        <f t="shared" si="2"/>
        <v>11.92368979</v>
      </c>
      <c r="H20" s="244">
        <v>14.8</v>
      </c>
      <c r="I20" s="230">
        <f t="shared" si="3"/>
        <v>-0.1943452842</v>
      </c>
      <c r="J20" s="262">
        <v>0.145</v>
      </c>
      <c r="K20" s="275">
        <v>-0.18</v>
      </c>
      <c r="L20" s="233">
        <f t="shared" si="4"/>
        <v>2.230853071</v>
      </c>
      <c r="M20" s="276">
        <v>1.0</v>
      </c>
      <c r="N20" s="265">
        <f t="shared" si="5"/>
        <v>2.230853071</v>
      </c>
      <c r="O20" s="277">
        <f t="shared" si="6"/>
        <v>0.08386665682</v>
      </c>
      <c r="P20" s="266">
        <f>IFERROR(__xludf.DUMMYFUNCTION("GOOGLEFINANCE(""BVMF:TIMS3"")"),26.6)</f>
        <v>26.6</v>
      </c>
      <c r="Q20" s="237">
        <f t="shared" si="7"/>
        <v>29.5477228</v>
      </c>
      <c r="R20" s="238">
        <f t="shared" si="8"/>
        <v>0.09976142055</v>
      </c>
      <c r="S20" s="267" t="s">
        <v>26</v>
      </c>
      <c r="T20" s="243" t="s">
        <v>108</v>
      </c>
      <c r="U20" s="240">
        <v>46091.0</v>
      </c>
    </row>
    <row r="21" ht="15.75" customHeight="1">
      <c r="A21" s="61" t="s">
        <v>119</v>
      </c>
      <c r="B21" s="62" t="s">
        <v>120</v>
      </c>
      <c r="C21" s="63" t="s">
        <v>49</v>
      </c>
      <c r="D21" s="129">
        <v>2.1548228E7</v>
      </c>
      <c r="E21" s="44">
        <f t="shared" si="1"/>
        <v>810859819.6</v>
      </c>
      <c r="F21" s="45">
        <v>1.5E8</v>
      </c>
      <c r="G21" s="46">
        <f t="shared" si="2"/>
        <v>5.405732131</v>
      </c>
      <c r="H21" s="81">
        <v>7.3</v>
      </c>
      <c r="I21" s="48">
        <f t="shared" si="3"/>
        <v>-0.2594887492</v>
      </c>
      <c r="J21" s="256">
        <v>0.22</v>
      </c>
      <c r="K21" s="126">
        <v>0.0</v>
      </c>
      <c r="L21" s="51">
        <f t="shared" si="4"/>
        <v>6.96112924</v>
      </c>
      <c r="M21" s="67">
        <v>0.45</v>
      </c>
      <c r="N21" s="51">
        <f t="shared" si="5"/>
        <v>3.132508158</v>
      </c>
      <c r="O21" s="120">
        <f t="shared" si="6"/>
        <v>0.08324496832</v>
      </c>
      <c r="P21" s="111">
        <f>IFERROR(__xludf.DUMMYFUNCTION("GOOGLEFINANCE(""BVMF:BGIP4"")"),37.63)</f>
        <v>37.63</v>
      </c>
      <c r="Q21" s="55">
        <f t="shared" si="7"/>
        <v>41.49017428</v>
      </c>
      <c r="R21" s="56">
        <f t="shared" si="8"/>
        <v>0.09303827581</v>
      </c>
      <c r="S21" s="80" t="s">
        <v>31</v>
      </c>
      <c r="T21" s="130" t="s">
        <v>121</v>
      </c>
      <c r="U21" s="58">
        <v>46091.0</v>
      </c>
    </row>
    <row r="22" ht="15.75" customHeight="1">
      <c r="A22" s="241" t="s">
        <v>225</v>
      </c>
      <c r="B22" s="242" t="s">
        <v>241</v>
      </c>
      <c r="C22" s="270" t="s">
        <v>115</v>
      </c>
      <c r="D22" s="257">
        <f>1033496721/3</f>
        <v>344498907</v>
      </c>
      <c r="E22" s="226">
        <f t="shared" si="1"/>
        <v>14537853875</v>
      </c>
      <c r="F22" s="227">
        <v>1.27E9</v>
      </c>
      <c r="G22" s="228">
        <f t="shared" si="2"/>
        <v>11.44712904</v>
      </c>
      <c r="H22" s="244">
        <v>8.6</v>
      </c>
      <c r="I22" s="230">
        <f t="shared" si="3"/>
        <v>0.3310615158</v>
      </c>
      <c r="J22" s="262">
        <v>-0.058</v>
      </c>
      <c r="K22" s="278">
        <v>4.1</v>
      </c>
      <c r="L22" s="233">
        <f t="shared" si="4"/>
        <v>3.686513873</v>
      </c>
      <c r="M22" s="246">
        <v>0.95</v>
      </c>
      <c r="N22" s="233">
        <f t="shared" si="5"/>
        <v>3.50218818</v>
      </c>
      <c r="O22" s="277">
        <f t="shared" si="6"/>
        <v>0.08299024122</v>
      </c>
      <c r="P22" s="247">
        <f>IFERROR(__xludf.DUMMYFUNCTION("GOOGLEFINANCE(""BVMF:TAEE11"")"),42.2)</f>
        <v>42.2</v>
      </c>
      <c r="Q22" s="237">
        <f t="shared" si="7"/>
        <v>46.38659841</v>
      </c>
      <c r="R22" s="238">
        <f t="shared" si="8"/>
        <v>0.0902544819</v>
      </c>
      <c r="S22" s="243" t="s">
        <v>31</v>
      </c>
      <c r="T22" s="243" t="s">
        <v>227</v>
      </c>
      <c r="U22" s="240">
        <v>46091.0</v>
      </c>
    </row>
    <row r="23" ht="15.75" customHeight="1">
      <c r="A23" s="40" t="s">
        <v>139</v>
      </c>
      <c r="B23" s="41" t="s">
        <v>140</v>
      </c>
      <c r="C23" s="106" t="s">
        <v>141</v>
      </c>
      <c r="D23" s="43">
        <v>8.699914E7</v>
      </c>
      <c r="E23" s="44">
        <f t="shared" si="1"/>
        <v>2289817365</v>
      </c>
      <c r="F23" s="45">
        <v>3.0E8</v>
      </c>
      <c r="G23" s="46">
        <f t="shared" si="2"/>
        <v>7.632724549</v>
      </c>
      <c r="H23" s="47">
        <v>8.6</v>
      </c>
      <c r="I23" s="48">
        <f t="shared" si="3"/>
        <v>-0.1124738896</v>
      </c>
      <c r="J23" s="49">
        <v>0.2197</v>
      </c>
      <c r="K23" s="50">
        <v>0.7</v>
      </c>
      <c r="L23" s="51">
        <f t="shared" si="4"/>
        <v>3.448309949</v>
      </c>
      <c r="M23" s="52">
        <v>0.63</v>
      </c>
      <c r="N23" s="51">
        <f t="shared" si="5"/>
        <v>2.172435268</v>
      </c>
      <c r="O23" s="120">
        <f t="shared" si="6"/>
        <v>0.08253933388</v>
      </c>
      <c r="P23" s="54">
        <f>IFERROR(__xludf.DUMMYFUNCTION("GOOGLEFINANCE(""BVMF:LOGG3"")"),26.32)</f>
        <v>26.32</v>
      </c>
      <c r="Q23" s="55">
        <f t="shared" si="7"/>
        <v>28.77397706</v>
      </c>
      <c r="R23" s="56">
        <f t="shared" si="8"/>
        <v>0.08528459766</v>
      </c>
      <c r="S23" s="80" t="s">
        <v>31</v>
      </c>
      <c r="T23" s="57" t="s">
        <v>121</v>
      </c>
      <c r="U23" s="58">
        <v>46091.0</v>
      </c>
    </row>
    <row r="24" ht="15.75" customHeight="1">
      <c r="A24" s="241" t="s">
        <v>225</v>
      </c>
      <c r="B24" s="242" t="s">
        <v>242</v>
      </c>
      <c r="C24" s="270" t="s">
        <v>115</v>
      </c>
      <c r="D24" s="257">
        <v>1.033496721E9</v>
      </c>
      <c r="E24" s="226">
        <f t="shared" si="1"/>
        <v>14644648537</v>
      </c>
      <c r="F24" s="227">
        <v>1.27E9</v>
      </c>
      <c r="G24" s="228">
        <f t="shared" si="2"/>
        <v>11.53121932</v>
      </c>
      <c r="H24" s="244">
        <v>8.6</v>
      </c>
      <c r="I24" s="230">
        <f t="shared" si="3"/>
        <v>0.3408394558</v>
      </c>
      <c r="J24" s="245">
        <v>-0.058</v>
      </c>
      <c r="K24" s="253">
        <v>4.1</v>
      </c>
      <c r="L24" s="233">
        <f t="shared" si="4"/>
        <v>1.228837958</v>
      </c>
      <c r="M24" s="246">
        <v>0.95</v>
      </c>
      <c r="N24" s="233">
        <f t="shared" si="5"/>
        <v>1.16739606</v>
      </c>
      <c r="O24" s="235">
        <f t="shared" si="6"/>
        <v>0.08238504304</v>
      </c>
      <c r="P24" s="247">
        <f>IFERROR(__xludf.DUMMYFUNCTION("GOOGLEFINANCE(""BVMF:TAEE4"")"),14.17)</f>
        <v>14.17</v>
      </c>
      <c r="Q24" s="237">
        <f t="shared" si="7"/>
        <v>15.46219947</v>
      </c>
      <c r="R24" s="238">
        <f t="shared" si="8"/>
        <v>0.08357151719</v>
      </c>
      <c r="S24" s="243" t="s">
        <v>31</v>
      </c>
      <c r="T24" s="243" t="s">
        <v>227</v>
      </c>
      <c r="U24" s="240">
        <v>46091.0</v>
      </c>
    </row>
    <row r="25" ht="15.75" customHeight="1">
      <c r="A25" s="61" t="s">
        <v>157</v>
      </c>
      <c r="B25" s="62" t="s">
        <v>158</v>
      </c>
      <c r="C25" s="80" t="s">
        <v>35</v>
      </c>
      <c r="D25" s="129">
        <v>4.437636744E9</v>
      </c>
      <c r="E25" s="44">
        <f t="shared" si="1"/>
        <v>347466957055</v>
      </c>
      <c r="F25" s="45">
        <v>5.3E10</v>
      </c>
      <c r="G25" s="46">
        <f t="shared" si="2"/>
        <v>6.555980322</v>
      </c>
      <c r="H25" s="65">
        <v>10.3</v>
      </c>
      <c r="I25" s="48">
        <f t="shared" si="3"/>
        <v>-0.3634970561</v>
      </c>
      <c r="J25" s="66">
        <v>0.023</v>
      </c>
      <c r="K25" s="82">
        <v>0.99</v>
      </c>
      <c r="L25" s="51">
        <f t="shared" si="4"/>
        <v>11.94329393</v>
      </c>
      <c r="M25" s="67">
        <v>0.53</v>
      </c>
      <c r="N25" s="51">
        <f t="shared" si="5"/>
        <v>6.329945784</v>
      </c>
      <c r="O25" s="53">
        <f t="shared" si="6"/>
        <v>0.08084221947</v>
      </c>
      <c r="P25" s="111">
        <f>IFERROR(__xludf.DUMMYFUNCTION("GOOGLEFINANCE(""BVMF:VALE3"")"),78.3)</f>
        <v>78.3</v>
      </c>
      <c r="Q25" s="55">
        <f t="shared" si="7"/>
        <v>83.84034151</v>
      </c>
      <c r="R25" s="56">
        <f t="shared" si="8"/>
        <v>0.0660820485</v>
      </c>
      <c r="S25" s="80" t="s">
        <v>36</v>
      </c>
      <c r="T25" s="80" t="s">
        <v>159</v>
      </c>
      <c r="U25" s="58">
        <v>46091.0</v>
      </c>
    </row>
    <row r="26" ht="15.75" customHeight="1">
      <c r="A26" s="241" t="s">
        <v>122</v>
      </c>
      <c r="B26" s="242" t="s">
        <v>123</v>
      </c>
      <c r="C26" s="270" t="s">
        <v>40</v>
      </c>
      <c r="D26" s="257">
        <v>9.0216E8</v>
      </c>
      <c r="E26" s="226">
        <f t="shared" si="1"/>
        <v>4095806400</v>
      </c>
      <c r="F26" s="227">
        <v>6.0E8</v>
      </c>
      <c r="G26" s="228">
        <f t="shared" si="2"/>
        <v>6.826344</v>
      </c>
      <c r="H26" s="258">
        <v>10.9</v>
      </c>
      <c r="I26" s="230">
        <f t="shared" si="3"/>
        <v>-0.3737299083</v>
      </c>
      <c r="J26" s="245">
        <v>0.149</v>
      </c>
      <c r="K26" s="232">
        <v>-2.38</v>
      </c>
      <c r="L26" s="233">
        <f t="shared" si="4"/>
        <v>0.6650704975</v>
      </c>
      <c r="M26" s="246">
        <v>0.55</v>
      </c>
      <c r="N26" s="233">
        <f t="shared" si="5"/>
        <v>0.3657887736</v>
      </c>
      <c r="O26" s="235">
        <f t="shared" si="6"/>
        <v>0.08057021445</v>
      </c>
      <c r="P26" s="279">
        <f>IFERROR(__xludf.DUMMYFUNCTION("GOOGLEFINANCE(""BVMF:GRND3"")"),4.54)</f>
        <v>4.54</v>
      </c>
      <c r="Q26" s="237">
        <f t="shared" si="7"/>
        <v>4.844884419</v>
      </c>
      <c r="R26" s="238">
        <f t="shared" si="8"/>
        <v>0.06292914182</v>
      </c>
      <c r="S26" s="243" t="s">
        <v>36</v>
      </c>
      <c r="T26" s="280" t="s">
        <v>124</v>
      </c>
      <c r="U26" s="240">
        <v>46091.0</v>
      </c>
    </row>
    <row r="27" ht="15.75" customHeight="1">
      <c r="A27" s="61" t="s">
        <v>73</v>
      </c>
      <c r="B27" s="62" t="s">
        <v>74</v>
      </c>
      <c r="C27" s="63" t="s">
        <v>49</v>
      </c>
      <c r="D27" s="150">
        <v>1.05970127E10</v>
      </c>
      <c r="E27" s="44">
        <f t="shared" si="1"/>
        <v>174002948534</v>
      </c>
      <c r="F27" s="45">
        <v>2.8E10</v>
      </c>
      <c r="G27" s="46">
        <f t="shared" si="2"/>
        <v>6.214391019</v>
      </c>
      <c r="H27" s="65">
        <v>9.2</v>
      </c>
      <c r="I27" s="48">
        <f t="shared" si="3"/>
        <v>-0.3245227153</v>
      </c>
      <c r="J27" s="66">
        <v>0.0485</v>
      </c>
      <c r="K27" s="82">
        <v>0.0</v>
      </c>
      <c r="L27" s="51">
        <f t="shared" si="4"/>
        <v>2.642254076</v>
      </c>
      <c r="M27" s="67">
        <v>0.5</v>
      </c>
      <c r="N27" s="51">
        <f t="shared" si="5"/>
        <v>1.321127038</v>
      </c>
      <c r="O27" s="53">
        <f t="shared" si="6"/>
        <v>0.0804584067</v>
      </c>
      <c r="P27" s="111">
        <f>IFERROR(__xludf.DUMMYFUNCTION("GOOGLEFINANCE(""BVMF:BBDC3"")"),16.42)</f>
        <v>16.42</v>
      </c>
      <c r="Q27" s="55">
        <f t="shared" si="7"/>
        <v>17.49837136</v>
      </c>
      <c r="R27" s="56">
        <f t="shared" si="8"/>
        <v>0.06162695612</v>
      </c>
      <c r="S27" s="80" t="s">
        <v>75</v>
      </c>
      <c r="T27" s="80" t="s">
        <v>76</v>
      </c>
      <c r="U27" s="58">
        <v>46091.0</v>
      </c>
    </row>
    <row r="28" ht="15.75" customHeight="1">
      <c r="A28" s="241" t="s">
        <v>170</v>
      </c>
      <c r="B28" s="242" t="s">
        <v>171</v>
      </c>
      <c r="C28" s="270" t="s">
        <v>49</v>
      </c>
      <c r="D28" s="257">
        <v>1.0753776126E10</v>
      </c>
      <c r="E28" s="226">
        <f t="shared" si="1"/>
        <v>441227434450</v>
      </c>
      <c r="F28" s="227">
        <v>5.0E10</v>
      </c>
      <c r="G28" s="228">
        <f t="shared" si="2"/>
        <v>8.824548689</v>
      </c>
      <c r="H28" s="258">
        <v>9.1</v>
      </c>
      <c r="I28" s="230">
        <f t="shared" si="3"/>
        <v>-0.03026937484</v>
      </c>
      <c r="J28" s="245">
        <v>0.238</v>
      </c>
      <c r="K28" s="232">
        <v>0.0</v>
      </c>
      <c r="L28" s="233">
        <f t="shared" si="4"/>
        <v>4.649529562</v>
      </c>
      <c r="M28" s="246">
        <v>0.7</v>
      </c>
      <c r="N28" s="233">
        <f t="shared" si="5"/>
        <v>3.254670693</v>
      </c>
      <c r="O28" s="235">
        <f t="shared" si="6"/>
        <v>0.07932416996</v>
      </c>
      <c r="P28" s="247">
        <f>IFERROR(__xludf.DUMMYFUNCTION("GOOGLEFINANCE(""BVMF:ITUB3"")"),41.03)</f>
        <v>41.03</v>
      </c>
      <c r="Q28" s="237">
        <f t="shared" si="7"/>
        <v>43.1082211</v>
      </c>
      <c r="R28" s="238">
        <f t="shared" si="8"/>
        <v>0.0482093914</v>
      </c>
      <c r="S28" s="243" t="s">
        <v>75</v>
      </c>
      <c r="T28" s="243" t="s">
        <v>81</v>
      </c>
      <c r="U28" s="240">
        <v>46091.0</v>
      </c>
    </row>
    <row r="29" ht="15.75" customHeight="1">
      <c r="A29" s="61" t="s">
        <v>176</v>
      </c>
      <c r="B29" s="62" t="s">
        <v>177</v>
      </c>
      <c r="C29" s="63" t="s">
        <v>178</v>
      </c>
      <c r="D29" s="64">
        <v>1.12137E10</v>
      </c>
      <c r="E29" s="44">
        <f t="shared" si="1"/>
        <v>147572292000</v>
      </c>
      <c r="F29" s="45">
        <v>1.79E10</v>
      </c>
      <c r="G29" s="46">
        <f t="shared" si="2"/>
        <v>8.244262123</v>
      </c>
      <c r="H29" s="65">
        <v>8.7</v>
      </c>
      <c r="I29" s="48">
        <f t="shared" si="3"/>
        <v>-0.05238366403</v>
      </c>
      <c r="J29" s="66">
        <v>0.164</v>
      </c>
      <c r="K29" s="82">
        <v>0.0</v>
      </c>
      <c r="L29" s="51">
        <f t="shared" si="4"/>
        <v>1.596261716</v>
      </c>
      <c r="M29" s="67">
        <v>0.65</v>
      </c>
      <c r="N29" s="51">
        <f t="shared" si="5"/>
        <v>1.037570115</v>
      </c>
      <c r="O29" s="53">
        <f t="shared" si="6"/>
        <v>0.07884271392</v>
      </c>
      <c r="P29" s="111">
        <f>IFERROR(__xludf.DUMMYFUNCTION("GOOGLEFINANCE(""BVMF:ITSA4"")"),13.16)</f>
        <v>13.16</v>
      </c>
      <c r="Q29" s="55">
        <f t="shared" si="7"/>
        <v>13.74265053</v>
      </c>
      <c r="R29" s="56">
        <f t="shared" si="8"/>
        <v>0.04239724572</v>
      </c>
      <c r="S29" s="80" t="s">
        <v>75</v>
      </c>
      <c r="T29" s="80" t="s">
        <v>81</v>
      </c>
      <c r="U29" s="58">
        <v>46091.0</v>
      </c>
    </row>
    <row r="30" ht="15.75" customHeight="1">
      <c r="A30" s="241" t="s">
        <v>132</v>
      </c>
      <c r="B30" s="242" t="s">
        <v>133</v>
      </c>
      <c r="C30" s="270" t="s">
        <v>65</v>
      </c>
      <c r="D30" s="257">
        <v>5.450929E8</v>
      </c>
      <c r="E30" s="226">
        <f t="shared" si="1"/>
        <v>7195226280</v>
      </c>
      <c r="F30" s="227">
        <v>5.95E8</v>
      </c>
      <c r="G30" s="228">
        <f t="shared" si="2"/>
        <v>12.09281728</v>
      </c>
      <c r="H30" s="244">
        <v>19.4</v>
      </c>
      <c r="I30" s="230">
        <f t="shared" si="3"/>
        <v>-0.3766589032</v>
      </c>
      <c r="J30" s="245">
        <v>0.1</v>
      </c>
      <c r="K30" s="232">
        <v>-0.64</v>
      </c>
      <c r="L30" s="233">
        <f t="shared" si="4"/>
        <v>1.091557054</v>
      </c>
      <c r="M30" s="281">
        <v>0.95</v>
      </c>
      <c r="N30" s="233">
        <f t="shared" si="5"/>
        <v>1.036979201</v>
      </c>
      <c r="O30" s="235">
        <f t="shared" si="6"/>
        <v>0.07855903039</v>
      </c>
      <c r="P30" s="247">
        <f>IFERROR(__xludf.DUMMYFUNCTION("GOOGLEFINANCE(""BVMF:ODPV3"")"),13.2)</f>
        <v>13.2</v>
      </c>
      <c r="Q30" s="237">
        <f t="shared" si="7"/>
        <v>13.73482386</v>
      </c>
      <c r="R30" s="238">
        <f t="shared" si="8"/>
        <v>0.03893925849</v>
      </c>
      <c r="S30" s="282" t="s">
        <v>134</v>
      </c>
      <c r="T30" s="283" t="s">
        <v>135</v>
      </c>
      <c r="U30" s="240">
        <v>46091.0</v>
      </c>
    </row>
    <row r="31" ht="15.75" customHeight="1">
      <c r="A31" s="61" t="s">
        <v>116</v>
      </c>
      <c r="B31" s="62" t="s">
        <v>117</v>
      </c>
      <c r="C31" s="63" t="s">
        <v>49</v>
      </c>
      <c r="D31" s="64">
        <v>7.470968456E9</v>
      </c>
      <c r="E31" s="44">
        <f t="shared" si="1"/>
        <v>111915107471</v>
      </c>
      <c r="F31" s="45">
        <v>1.74E10</v>
      </c>
      <c r="G31" s="46">
        <f t="shared" si="2"/>
        <v>6.431902728</v>
      </c>
      <c r="H31" s="65">
        <v>10.2</v>
      </c>
      <c r="I31" s="48">
        <f t="shared" si="3"/>
        <v>-0.3694213012</v>
      </c>
      <c r="J31" s="66">
        <v>-0.015</v>
      </c>
      <c r="K31" s="82">
        <v>0.0</v>
      </c>
      <c r="L31" s="51">
        <f t="shared" si="4"/>
        <v>2.329015321</v>
      </c>
      <c r="M31" s="67">
        <v>0.5</v>
      </c>
      <c r="N31" s="51">
        <f t="shared" si="5"/>
        <v>1.164507661</v>
      </c>
      <c r="O31" s="53">
        <f t="shared" si="6"/>
        <v>0.07773749404</v>
      </c>
      <c r="P31" s="111">
        <f>IFERROR(__xludf.DUMMYFUNCTION("GOOGLEFINANCE(""BVMF:SANB3"")"),14.98)</f>
        <v>14.98</v>
      </c>
      <c r="Q31" s="55">
        <f t="shared" si="7"/>
        <v>15.42394253</v>
      </c>
      <c r="R31" s="56">
        <f t="shared" si="8"/>
        <v>0.02878268804</v>
      </c>
      <c r="S31" s="80" t="s">
        <v>31</v>
      </c>
      <c r="T31" s="80" t="s">
        <v>118</v>
      </c>
      <c r="U31" s="58">
        <v>46091.0</v>
      </c>
    </row>
    <row r="32" ht="15.75" customHeight="1">
      <c r="A32" s="241" t="s">
        <v>181</v>
      </c>
      <c r="B32" s="242" t="s">
        <v>182</v>
      </c>
      <c r="C32" s="270" t="s">
        <v>65</v>
      </c>
      <c r="D32" s="257">
        <v>3.0E9</v>
      </c>
      <c r="E32" s="226">
        <f t="shared" si="1"/>
        <v>54420000000</v>
      </c>
      <c r="F32" s="227">
        <v>4.7E9</v>
      </c>
      <c r="G32" s="228">
        <f t="shared" si="2"/>
        <v>11.5787234</v>
      </c>
      <c r="H32" s="244">
        <v>12.4</v>
      </c>
      <c r="I32" s="230">
        <f t="shared" si="3"/>
        <v>-0.06623198353</v>
      </c>
      <c r="J32" s="245">
        <v>0.197</v>
      </c>
      <c r="K32" s="232">
        <v>0.0</v>
      </c>
      <c r="L32" s="233">
        <f t="shared" si="4"/>
        <v>1.566666667</v>
      </c>
      <c r="M32" s="281">
        <v>0.9</v>
      </c>
      <c r="N32" s="233">
        <f t="shared" si="5"/>
        <v>1.41</v>
      </c>
      <c r="O32" s="235">
        <f t="shared" si="6"/>
        <v>0.07772877619</v>
      </c>
      <c r="P32" s="247">
        <f>IFERROR(__xludf.DUMMYFUNCTION("GOOGLEFINANCE(""BVMF:CXSE3"")"),18.14)</f>
        <v>18.14</v>
      </c>
      <c r="Q32" s="237">
        <f t="shared" si="7"/>
        <v>18.67549669</v>
      </c>
      <c r="R32" s="238">
        <f t="shared" si="8"/>
        <v>0.02867375887</v>
      </c>
      <c r="S32" s="243" t="s">
        <v>31</v>
      </c>
      <c r="T32" s="243" t="s">
        <v>183</v>
      </c>
      <c r="U32" s="240">
        <v>46091.0</v>
      </c>
    </row>
    <row r="33" ht="15.75" customHeight="1">
      <c r="A33" s="61" t="s">
        <v>201</v>
      </c>
      <c r="B33" s="62" t="s">
        <v>202</v>
      </c>
      <c r="C33" s="63" t="s">
        <v>115</v>
      </c>
      <c r="D33" s="129">
        <v>1.15225444E9</v>
      </c>
      <c r="E33" s="44">
        <f t="shared" si="1"/>
        <v>55481051286</v>
      </c>
      <c r="F33" s="45">
        <v>5.5E9</v>
      </c>
      <c r="G33" s="46">
        <f t="shared" si="2"/>
        <v>10.08746387</v>
      </c>
      <c r="H33" s="65">
        <v>13.0</v>
      </c>
      <c r="I33" s="48">
        <f t="shared" si="3"/>
        <v>-0.2240412408</v>
      </c>
      <c r="J33" s="66">
        <v>0.087</v>
      </c>
      <c r="K33" s="82">
        <v>2.07</v>
      </c>
      <c r="L33" s="51">
        <f t="shared" si="4"/>
        <v>4.773251297</v>
      </c>
      <c r="M33" s="67">
        <v>0.781</v>
      </c>
      <c r="N33" s="51">
        <f t="shared" si="5"/>
        <v>3.727909263</v>
      </c>
      <c r="O33" s="53">
        <f t="shared" si="6"/>
        <v>0.07742282997</v>
      </c>
      <c r="P33" s="111">
        <f>IFERROR(__xludf.DUMMYFUNCTION("GOOGLEFINANCE(""BVMF:CPFE3"")"),48.15)</f>
        <v>48.15</v>
      </c>
      <c r="Q33" s="55">
        <f t="shared" si="7"/>
        <v>49.37628163</v>
      </c>
      <c r="R33" s="56">
        <f t="shared" si="8"/>
        <v>0.02483543893</v>
      </c>
      <c r="S33" s="80" t="s">
        <v>75</v>
      </c>
      <c r="T33" s="80" t="s">
        <v>203</v>
      </c>
      <c r="U33" s="58">
        <v>46091.0</v>
      </c>
    </row>
    <row r="34" ht="15.75" customHeight="1">
      <c r="A34" s="284" t="s">
        <v>116</v>
      </c>
      <c r="B34" s="285" t="s">
        <v>125</v>
      </c>
      <c r="C34" s="286" t="s">
        <v>49</v>
      </c>
      <c r="D34" s="287">
        <f>7470968456/2</f>
        <v>3735484228</v>
      </c>
      <c r="E34" s="226">
        <f t="shared" si="1"/>
        <v>112886333370</v>
      </c>
      <c r="F34" s="227">
        <v>1.74E10</v>
      </c>
      <c r="G34" s="228">
        <f t="shared" si="2"/>
        <v>6.487720309</v>
      </c>
      <c r="H34" s="244">
        <v>10.2</v>
      </c>
      <c r="I34" s="230">
        <f t="shared" si="3"/>
        <v>-0.3639489894</v>
      </c>
      <c r="J34" s="245">
        <v>-0.015</v>
      </c>
      <c r="K34" s="288">
        <v>0.0</v>
      </c>
      <c r="L34" s="233">
        <f t="shared" si="4"/>
        <v>4.658030643</v>
      </c>
      <c r="M34" s="289">
        <v>0.5</v>
      </c>
      <c r="N34" s="290">
        <f t="shared" si="5"/>
        <v>2.329015321</v>
      </c>
      <c r="O34" s="235">
        <f t="shared" si="6"/>
        <v>0.07706867377</v>
      </c>
      <c r="P34" s="279">
        <f>IFERROR(__xludf.DUMMYFUNCTION("GOOGLEFINANCE(""BVMF:SANB11"")"),30.22)</f>
        <v>30.22</v>
      </c>
      <c r="Q34" s="237">
        <f t="shared" si="7"/>
        <v>30.84788505</v>
      </c>
      <c r="R34" s="238">
        <f t="shared" si="8"/>
        <v>0.0203542334</v>
      </c>
      <c r="S34" s="280" t="s">
        <v>31</v>
      </c>
      <c r="T34" s="243" t="s">
        <v>118</v>
      </c>
      <c r="U34" s="240">
        <v>46091.0</v>
      </c>
    </row>
    <row r="35" ht="15.75" customHeight="1">
      <c r="A35" s="61" t="s">
        <v>198</v>
      </c>
      <c r="B35" s="62" t="s">
        <v>199</v>
      </c>
      <c r="C35" s="63" t="s">
        <v>200</v>
      </c>
      <c r="D35" s="64">
        <v>2.3601907E7</v>
      </c>
      <c r="E35" s="44">
        <f t="shared" si="1"/>
        <v>652828747.6</v>
      </c>
      <c r="F35" s="174">
        <v>1.0E8</v>
      </c>
      <c r="G35" s="46">
        <f t="shared" si="2"/>
        <v>6.528287476</v>
      </c>
      <c r="H35" s="65">
        <v>7.3</v>
      </c>
      <c r="I35" s="48">
        <f t="shared" si="3"/>
        <v>-0.1057140444</v>
      </c>
      <c r="J35" s="66">
        <v>0.078</v>
      </c>
      <c r="K35" s="82">
        <v>-1.63</v>
      </c>
      <c r="L35" s="51">
        <f t="shared" si="4"/>
        <v>4.236945769</v>
      </c>
      <c r="M35" s="83">
        <v>0.5</v>
      </c>
      <c r="N35" s="51">
        <f t="shared" si="5"/>
        <v>2.118472884</v>
      </c>
      <c r="O35" s="53">
        <f t="shared" si="6"/>
        <v>0.07658976444</v>
      </c>
      <c r="P35" s="111">
        <f>IFERROR(__xludf.DUMMYFUNCTION("GOOGLEFINANCE(""BVMF:CGRA4"")"),27.66)</f>
        <v>27.66</v>
      </c>
      <c r="Q35" s="55">
        <f t="shared" si="7"/>
        <v>28.0592435</v>
      </c>
      <c r="R35" s="56">
        <f t="shared" si="8"/>
        <v>0.01422859109</v>
      </c>
      <c r="S35" s="80" t="s">
        <v>75</v>
      </c>
      <c r="T35" s="80" t="s">
        <v>189</v>
      </c>
      <c r="U35" s="58">
        <v>46091.0</v>
      </c>
    </row>
    <row r="36" ht="15.75" customHeight="1">
      <c r="A36" s="241" t="s">
        <v>212</v>
      </c>
      <c r="B36" s="242" t="s">
        <v>213</v>
      </c>
      <c r="C36" s="270" t="s">
        <v>115</v>
      </c>
      <c r="D36" s="257">
        <v>7.2082E7</v>
      </c>
      <c r="E36" s="226">
        <f t="shared" si="1"/>
        <v>2235983640</v>
      </c>
      <c r="F36" s="291">
        <v>2.0E8</v>
      </c>
      <c r="G36" s="228">
        <f t="shared" si="2"/>
        <v>11.1799182</v>
      </c>
      <c r="H36" s="258">
        <v>7.1</v>
      </c>
      <c r="I36" s="230">
        <f t="shared" si="3"/>
        <v>0.5746363662</v>
      </c>
      <c r="J36" s="292">
        <v>0.073</v>
      </c>
      <c r="K36" s="293">
        <v>-3.17</v>
      </c>
      <c r="L36" s="233">
        <f t="shared" si="4"/>
        <v>2.774617796</v>
      </c>
      <c r="M36" s="246">
        <v>0.778</v>
      </c>
      <c r="N36" s="233">
        <f>M36*L36*1.1</f>
        <v>2.37451791</v>
      </c>
      <c r="O36" s="235">
        <f t="shared" si="6"/>
        <v>0.07654796616</v>
      </c>
      <c r="P36" s="247">
        <f>IFERROR(__xludf.DUMMYFUNCTION("GOOGLEFINANCE(""BVMF:CEBR6"")"),31.02)</f>
        <v>31.02</v>
      </c>
      <c r="Q36" s="237">
        <f t="shared" si="7"/>
        <v>31.45056835</v>
      </c>
      <c r="R36" s="238">
        <f t="shared" si="8"/>
        <v>0.01369032005</v>
      </c>
      <c r="S36" s="243" t="s">
        <v>75</v>
      </c>
      <c r="T36" s="243" t="s">
        <v>214</v>
      </c>
      <c r="U36" s="240">
        <v>46091.0</v>
      </c>
    </row>
    <row r="37" ht="15.75" customHeight="1">
      <c r="A37" s="61" t="s">
        <v>73</v>
      </c>
      <c r="B37" s="62" t="s">
        <v>131</v>
      </c>
      <c r="C37" s="63" t="s">
        <v>49</v>
      </c>
      <c r="D37" s="150">
        <v>1.05970127E10</v>
      </c>
      <c r="E37" s="44">
        <f t="shared" si="1"/>
        <v>201237271173</v>
      </c>
      <c r="F37" s="45">
        <v>2.8E10</v>
      </c>
      <c r="G37" s="46">
        <f t="shared" si="2"/>
        <v>7.187045399</v>
      </c>
      <c r="H37" s="65">
        <v>10.1</v>
      </c>
      <c r="I37" s="48">
        <f t="shared" si="3"/>
        <v>-0.2884113466</v>
      </c>
      <c r="J37" s="110">
        <v>0.0118</v>
      </c>
      <c r="K37" s="82">
        <v>0.0</v>
      </c>
      <c r="L37" s="51">
        <f t="shared" si="4"/>
        <v>2.642254076</v>
      </c>
      <c r="M37" s="67">
        <v>0.55</v>
      </c>
      <c r="N37" s="51">
        <f t="shared" ref="N37:N93" si="9">M37*L37</f>
        <v>1.453239742</v>
      </c>
      <c r="O37" s="53">
        <f t="shared" si="6"/>
        <v>0.07652657935</v>
      </c>
      <c r="P37" s="111">
        <f>IFERROR(__xludf.DUMMYFUNCTION("GOOGLEFINANCE(""BVMF:BBDC4"")"),18.99)</f>
        <v>18.99</v>
      </c>
      <c r="Q37" s="55">
        <f t="shared" si="7"/>
        <v>19.2482085</v>
      </c>
      <c r="R37" s="56">
        <f t="shared" si="8"/>
        <v>0.01341467704</v>
      </c>
      <c r="S37" s="80" t="s">
        <v>75</v>
      </c>
      <c r="T37" s="80" t="s">
        <v>76</v>
      </c>
      <c r="U37" s="58">
        <v>46091.0</v>
      </c>
    </row>
    <row r="38" ht="15.75" customHeight="1">
      <c r="A38" s="284" t="s">
        <v>116</v>
      </c>
      <c r="B38" s="285" t="s">
        <v>147</v>
      </c>
      <c r="C38" s="286" t="s">
        <v>49</v>
      </c>
      <c r="D38" s="225">
        <v>7.470968456E9</v>
      </c>
      <c r="E38" s="226">
        <f t="shared" si="1"/>
        <v>114604656115</v>
      </c>
      <c r="F38" s="227">
        <v>1.74E10</v>
      </c>
      <c r="G38" s="228">
        <f t="shared" si="2"/>
        <v>6.586474489</v>
      </c>
      <c r="H38" s="244">
        <v>10.2</v>
      </c>
      <c r="I38" s="230">
        <f t="shared" si="3"/>
        <v>-0.3542672069</v>
      </c>
      <c r="J38" s="245">
        <v>-0.015</v>
      </c>
      <c r="K38" s="288">
        <v>0.0</v>
      </c>
      <c r="L38" s="233">
        <f t="shared" si="4"/>
        <v>2.329015321</v>
      </c>
      <c r="M38" s="289">
        <v>0.5</v>
      </c>
      <c r="N38" s="290">
        <f t="shared" si="9"/>
        <v>1.164507661</v>
      </c>
      <c r="O38" s="235">
        <f t="shared" si="6"/>
        <v>0.07591314607</v>
      </c>
      <c r="P38" s="279">
        <f>IFERROR(__xludf.DUMMYFUNCTION("GOOGLEFINANCE(""BVMF:SANB4"")"),15.34)</f>
        <v>15.34</v>
      </c>
      <c r="Q38" s="237">
        <f t="shared" si="7"/>
        <v>15.42394253</v>
      </c>
      <c r="R38" s="238">
        <f t="shared" si="8"/>
        <v>0.005442352105</v>
      </c>
      <c r="S38" s="280" t="s">
        <v>31</v>
      </c>
      <c r="T38" s="243" t="s">
        <v>118</v>
      </c>
      <c r="U38" s="240">
        <v>46091.0</v>
      </c>
    </row>
    <row r="39" ht="15.75" customHeight="1">
      <c r="A39" s="61" t="s">
        <v>90</v>
      </c>
      <c r="B39" s="62" t="s">
        <v>91</v>
      </c>
      <c r="C39" s="63" t="s">
        <v>92</v>
      </c>
      <c r="D39" s="129">
        <v>4.1280684E7</v>
      </c>
      <c r="E39" s="44">
        <f t="shared" si="1"/>
        <v>759564585.6</v>
      </c>
      <c r="F39" s="45">
        <v>1.15E8</v>
      </c>
      <c r="G39" s="46">
        <f t="shared" si="2"/>
        <v>6.60490944</v>
      </c>
      <c r="H39" s="65">
        <v>10.1</v>
      </c>
      <c r="I39" s="48">
        <f t="shared" si="3"/>
        <v>-0.3460485703</v>
      </c>
      <c r="J39" s="110">
        <v>0.147</v>
      </c>
      <c r="K39" s="82">
        <v>-0.13</v>
      </c>
      <c r="L39" s="51">
        <f t="shared" si="4"/>
        <v>2.785806553</v>
      </c>
      <c r="M39" s="83">
        <v>0.5</v>
      </c>
      <c r="N39" s="51">
        <f t="shared" si="9"/>
        <v>1.392903277</v>
      </c>
      <c r="O39" s="53">
        <f t="shared" si="6"/>
        <v>0.07570126503</v>
      </c>
      <c r="P39" s="161">
        <f>IFERROR(__xludf.DUMMYFUNCTION("GOOGLEFINANCE(""BVMF:CSUD3"")"),18.4)</f>
        <v>18.4</v>
      </c>
      <c r="Q39" s="55">
        <f t="shared" si="7"/>
        <v>18.44905002</v>
      </c>
      <c r="R39" s="56">
        <f t="shared" si="8"/>
        <v>0.00265867456</v>
      </c>
      <c r="S39" s="80" t="s">
        <v>31</v>
      </c>
      <c r="T39" s="130" t="s">
        <v>93</v>
      </c>
      <c r="U39" s="58">
        <v>46091.0</v>
      </c>
    </row>
    <row r="40" ht="15.75" customHeight="1">
      <c r="A40" s="241" t="s">
        <v>23</v>
      </c>
      <c r="B40" s="242" t="s">
        <v>24</v>
      </c>
      <c r="C40" s="270" t="s">
        <v>25</v>
      </c>
      <c r="D40" s="225">
        <v>2.211723E8</v>
      </c>
      <c r="E40" s="226">
        <f t="shared" si="1"/>
        <v>2012667930</v>
      </c>
      <c r="F40" s="227">
        <v>2.15E8</v>
      </c>
      <c r="G40" s="228">
        <f t="shared" si="2"/>
        <v>9.361246186</v>
      </c>
      <c r="H40" s="244">
        <v>9.4</v>
      </c>
      <c r="I40" s="230">
        <f t="shared" si="3"/>
        <v>-0.004122746165</v>
      </c>
      <c r="J40" s="245">
        <v>0.33</v>
      </c>
      <c r="K40" s="253">
        <v>2.06</v>
      </c>
      <c r="L40" s="233">
        <f t="shared" si="4"/>
        <v>0.9720927982</v>
      </c>
      <c r="M40" s="246">
        <v>0.7</v>
      </c>
      <c r="N40" s="233">
        <f t="shared" si="9"/>
        <v>0.6804649588</v>
      </c>
      <c r="O40" s="235">
        <f t="shared" si="6"/>
        <v>0.0747763691</v>
      </c>
      <c r="P40" s="247">
        <f>IFERROR(__xludf.DUMMYFUNCTION("GOOGLEFINANCE(""BVMF:RANI3"")"),9.1)</f>
        <v>9.1</v>
      </c>
      <c r="Q40" s="237">
        <f t="shared" si="7"/>
        <v>9.012780911</v>
      </c>
      <c r="R40" s="238">
        <f t="shared" si="8"/>
        <v>-0.009677267209</v>
      </c>
      <c r="S40" s="243" t="s">
        <v>26</v>
      </c>
      <c r="T40" s="243" t="s">
        <v>27</v>
      </c>
      <c r="U40" s="240">
        <v>46091.0</v>
      </c>
    </row>
    <row r="41" ht="15.75" customHeight="1">
      <c r="A41" s="61" t="s">
        <v>212</v>
      </c>
      <c r="B41" s="62" t="s">
        <v>240</v>
      </c>
      <c r="C41" s="63" t="s">
        <v>115</v>
      </c>
      <c r="D41" s="129">
        <v>7.2082E7</v>
      </c>
      <c r="E41" s="44">
        <f t="shared" si="1"/>
        <v>2100469480</v>
      </c>
      <c r="F41" s="188">
        <v>2.0E8</v>
      </c>
      <c r="G41" s="46">
        <f t="shared" si="2"/>
        <v>10.5023474</v>
      </c>
      <c r="H41" s="81">
        <v>7.1</v>
      </c>
      <c r="I41" s="48">
        <f t="shared" si="3"/>
        <v>0.4792038592</v>
      </c>
      <c r="J41" s="110">
        <v>0.073</v>
      </c>
      <c r="K41" s="189">
        <v>-3.17</v>
      </c>
      <c r="L41" s="51">
        <f t="shared" si="4"/>
        <v>2.774617796</v>
      </c>
      <c r="M41" s="67">
        <v>0.778</v>
      </c>
      <c r="N41" s="51">
        <f t="shared" si="9"/>
        <v>2.158652646</v>
      </c>
      <c r="O41" s="53">
        <f t="shared" si="6"/>
        <v>0.07407867693</v>
      </c>
      <c r="P41" s="161">
        <f>IFERROR(__xludf.DUMMYFUNCTION("GOOGLEFINANCE(""BVMF:CEBR5"")"),29.14)</f>
        <v>29.14</v>
      </c>
      <c r="Q41" s="55">
        <f t="shared" si="7"/>
        <v>28.59142577</v>
      </c>
      <c r="R41" s="56">
        <f t="shared" si="8"/>
        <v>-0.01918666928</v>
      </c>
      <c r="S41" s="80" t="s">
        <v>75</v>
      </c>
      <c r="T41" s="80" t="s">
        <v>214</v>
      </c>
      <c r="U41" s="58">
        <v>46091.0</v>
      </c>
    </row>
    <row r="42" ht="15.75" customHeight="1">
      <c r="A42" s="248" t="s">
        <v>63</v>
      </c>
      <c r="B42" s="249" t="s">
        <v>64</v>
      </c>
      <c r="C42" s="250" t="s">
        <v>65</v>
      </c>
      <c r="D42" s="251">
        <v>8.1843E7</v>
      </c>
      <c r="E42" s="226">
        <f t="shared" si="1"/>
        <v>4529191620</v>
      </c>
      <c r="F42" s="227">
        <v>6.7E8</v>
      </c>
      <c r="G42" s="228">
        <f t="shared" si="2"/>
        <v>6.759987493</v>
      </c>
      <c r="H42" s="252">
        <v>15.8</v>
      </c>
      <c r="I42" s="230">
        <f t="shared" si="3"/>
        <v>-0.5721526903</v>
      </c>
      <c r="J42" s="231">
        <v>0.0</v>
      </c>
      <c r="K42" s="253">
        <v>0.0</v>
      </c>
      <c r="L42" s="233">
        <f t="shared" si="4"/>
        <v>8.186405679</v>
      </c>
      <c r="M42" s="246">
        <v>0.5</v>
      </c>
      <c r="N42" s="233">
        <f t="shared" si="9"/>
        <v>4.09320284</v>
      </c>
      <c r="O42" s="235">
        <f t="shared" si="6"/>
        <v>0.07396463389</v>
      </c>
      <c r="P42" s="236">
        <f>IFERROR(__xludf.DUMMYFUNCTION("GOOGLEFINANCE(""BVMF:IRBR3"")"),55.34)</f>
        <v>55.34</v>
      </c>
      <c r="Q42" s="237">
        <f t="shared" si="7"/>
        <v>54.21460715</v>
      </c>
      <c r="R42" s="238">
        <f t="shared" si="8"/>
        <v>-0.02075811137</v>
      </c>
      <c r="S42" s="254" t="s">
        <v>66</v>
      </c>
      <c r="T42" s="254" t="s">
        <v>66</v>
      </c>
      <c r="U42" s="240">
        <v>46091.0</v>
      </c>
    </row>
    <row r="43" ht="15.75" customHeight="1">
      <c r="A43" s="61" t="s">
        <v>172</v>
      </c>
      <c r="B43" s="62" t="s">
        <v>173</v>
      </c>
      <c r="C43" s="63" t="s">
        <v>174</v>
      </c>
      <c r="D43" s="129">
        <v>1.32521E8</v>
      </c>
      <c r="E43" s="44">
        <f t="shared" si="1"/>
        <v>17466267800</v>
      </c>
      <c r="F43" s="45">
        <v>1.6E9</v>
      </c>
      <c r="G43" s="46">
        <f t="shared" si="2"/>
        <v>10.91641738</v>
      </c>
      <c r="H43" s="65">
        <v>11.4</v>
      </c>
      <c r="I43" s="48">
        <f t="shared" si="3"/>
        <v>-0.04241952851</v>
      </c>
      <c r="J43" s="66">
        <v>0.0684</v>
      </c>
      <c r="K43" s="50">
        <v>1.93</v>
      </c>
      <c r="L43" s="51">
        <f t="shared" si="4"/>
        <v>12.07355815</v>
      </c>
      <c r="M43" s="67">
        <v>0.8</v>
      </c>
      <c r="N43" s="51">
        <f t="shared" si="9"/>
        <v>9.658846522</v>
      </c>
      <c r="O43" s="53">
        <f t="shared" si="6"/>
        <v>0.07328411626</v>
      </c>
      <c r="P43" s="111">
        <f>IFERROR(__xludf.DUMMYFUNCTION("GOOGLEFINANCE(""BVMF:CGAS5"")"),131.8)</f>
        <v>131.8</v>
      </c>
      <c r="Q43" s="55">
        <f t="shared" si="7"/>
        <v>127.931742</v>
      </c>
      <c r="R43" s="56">
        <f t="shared" si="8"/>
        <v>-0.03023688977</v>
      </c>
      <c r="S43" s="80" t="s">
        <v>36</v>
      </c>
      <c r="T43" s="166" t="s">
        <v>175</v>
      </c>
      <c r="U43" s="58">
        <v>46091.0</v>
      </c>
    </row>
    <row r="44" ht="15.75" customHeight="1">
      <c r="A44" s="241" t="s">
        <v>33</v>
      </c>
      <c r="B44" s="242" t="s">
        <v>34</v>
      </c>
      <c r="C44" s="270" t="s">
        <v>35</v>
      </c>
      <c r="D44" s="257">
        <v>5.4320457E9</v>
      </c>
      <c r="E44" s="226">
        <f t="shared" si="1"/>
        <v>26291101188</v>
      </c>
      <c r="F44" s="227">
        <v>2.5E9</v>
      </c>
      <c r="G44" s="228">
        <f t="shared" si="2"/>
        <v>10.51644048</v>
      </c>
      <c r="H44" s="244">
        <v>7.8</v>
      </c>
      <c r="I44" s="230">
        <f t="shared" si="3"/>
        <v>0.3482615994</v>
      </c>
      <c r="J44" s="245">
        <v>-0.1125</v>
      </c>
      <c r="K44" s="232">
        <v>-0.69</v>
      </c>
      <c r="L44" s="233">
        <f t="shared" si="4"/>
        <v>0.4602317687</v>
      </c>
      <c r="M44" s="246">
        <v>0.75</v>
      </c>
      <c r="N44" s="233">
        <f t="shared" si="9"/>
        <v>0.3451738265</v>
      </c>
      <c r="O44" s="235">
        <f t="shared" si="6"/>
        <v>0.0713169063</v>
      </c>
      <c r="P44" s="247">
        <f>IFERROR(__xludf.DUMMYFUNCTION("GOOGLEFINANCE(""BVMF:CMIN3"")"),4.84)</f>
        <v>4.84</v>
      </c>
      <c r="Q44" s="237">
        <f t="shared" si="7"/>
        <v>4.571838762</v>
      </c>
      <c r="R44" s="238">
        <f t="shared" si="8"/>
        <v>-0.05865500784</v>
      </c>
      <c r="S44" s="243" t="s">
        <v>36</v>
      </c>
      <c r="T44" s="243" t="s">
        <v>37</v>
      </c>
      <c r="U44" s="240">
        <v>46091.0</v>
      </c>
    </row>
    <row r="45" ht="15.75" customHeight="1">
      <c r="A45" s="155" t="s">
        <v>170</v>
      </c>
      <c r="B45" s="156" t="s">
        <v>190</v>
      </c>
      <c r="C45" s="157" t="s">
        <v>49</v>
      </c>
      <c r="D45" s="129">
        <v>1.0753776126E10</v>
      </c>
      <c r="E45" s="44">
        <f t="shared" si="1"/>
        <v>455960107742</v>
      </c>
      <c r="F45" s="45">
        <v>5.0E10</v>
      </c>
      <c r="G45" s="46">
        <f t="shared" si="2"/>
        <v>9.119202155</v>
      </c>
      <c r="H45" s="81">
        <v>10.0</v>
      </c>
      <c r="I45" s="48">
        <f t="shared" si="3"/>
        <v>-0.08807978452</v>
      </c>
      <c r="J45" s="66">
        <v>0.238</v>
      </c>
      <c r="K45" s="158">
        <v>0.0</v>
      </c>
      <c r="L45" s="51">
        <f t="shared" si="4"/>
        <v>4.649529562</v>
      </c>
      <c r="M45" s="168">
        <v>0.65</v>
      </c>
      <c r="N45" s="160">
        <f t="shared" si="9"/>
        <v>3.022194215</v>
      </c>
      <c r="O45" s="53">
        <f t="shared" si="6"/>
        <v>0.07127816545</v>
      </c>
      <c r="P45" s="68">
        <f>IFERROR(__xludf.DUMMYFUNCTION("GOOGLEFINANCE(""BVMF:ITUB4"")"),42.4)</f>
        <v>42.4</v>
      </c>
      <c r="Q45" s="55">
        <f t="shared" si="7"/>
        <v>40.02906245</v>
      </c>
      <c r="R45" s="56">
        <f t="shared" si="8"/>
        <v>-0.05923040414</v>
      </c>
      <c r="S45" s="130" t="s">
        <v>75</v>
      </c>
      <c r="T45" s="80" t="s">
        <v>81</v>
      </c>
      <c r="U45" s="58">
        <v>46091.0</v>
      </c>
    </row>
    <row r="46" ht="15.75" customHeight="1">
      <c r="A46" s="241" t="s">
        <v>88</v>
      </c>
      <c r="B46" s="242" t="s">
        <v>89</v>
      </c>
      <c r="C46" s="270" t="s">
        <v>45</v>
      </c>
      <c r="D46" s="225">
        <v>1.324908144E9</v>
      </c>
      <c r="E46" s="226">
        <f t="shared" si="1"/>
        <v>10453525256</v>
      </c>
      <c r="F46" s="227">
        <v>1.23E9</v>
      </c>
      <c r="G46" s="228">
        <f t="shared" si="2"/>
        <v>8.498801021</v>
      </c>
      <c r="H46" s="244">
        <v>8.9</v>
      </c>
      <c r="I46" s="230">
        <f t="shared" si="3"/>
        <v>-0.04507853694</v>
      </c>
      <c r="J46" s="245">
        <v>0.067</v>
      </c>
      <c r="K46" s="253">
        <v>0.85</v>
      </c>
      <c r="L46" s="233">
        <f t="shared" si="4"/>
        <v>0.928366246</v>
      </c>
      <c r="M46" s="246">
        <v>0.6</v>
      </c>
      <c r="N46" s="233">
        <f t="shared" si="9"/>
        <v>0.5570197476</v>
      </c>
      <c r="O46" s="235">
        <f t="shared" si="6"/>
        <v>0.07059819362</v>
      </c>
      <c r="P46" s="247">
        <f>IFERROR(__xludf.DUMMYFUNCTION("GOOGLEFINANCE(""BVMF:GOAU3"")"),7.89)</f>
        <v>7.89</v>
      </c>
      <c r="Q46" s="237">
        <f t="shared" si="7"/>
        <v>7.377745002</v>
      </c>
      <c r="R46" s="238">
        <f t="shared" si="8"/>
        <v>-0.06943246184</v>
      </c>
      <c r="S46" s="243" t="s">
        <v>31</v>
      </c>
      <c r="T46" s="243" t="s">
        <v>46</v>
      </c>
      <c r="U46" s="240">
        <v>46091.0</v>
      </c>
    </row>
    <row r="47" ht="15.75" customHeight="1">
      <c r="A47" s="61" t="s">
        <v>247</v>
      </c>
      <c r="B47" s="62" t="s">
        <v>248</v>
      </c>
      <c r="C47" s="63" t="s">
        <v>249</v>
      </c>
      <c r="D47" s="129">
        <v>1.12722576E8</v>
      </c>
      <c r="E47" s="44">
        <f t="shared" si="1"/>
        <v>7464488983</v>
      </c>
      <c r="F47" s="45">
        <v>5.5E8</v>
      </c>
      <c r="G47" s="46">
        <f t="shared" si="2"/>
        <v>13.57179815</v>
      </c>
      <c r="H47" s="65">
        <v>9.3</v>
      </c>
      <c r="I47" s="48">
        <f t="shared" si="3"/>
        <v>0.4593331345</v>
      </c>
      <c r="J47" s="66">
        <v>0.165</v>
      </c>
      <c r="K47" s="82">
        <v>0.89</v>
      </c>
      <c r="L47" s="51">
        <f t="shared" si="4"/>
        <v>4.879235549</v>
      </c>
      <c r="M47" s="67">
        <v>0.95</v>
      </c>
      <c r="N47" s="51">
        <f t="shared" si="9"/>
        <v>4.635273772</v>
      </c>
      <c r="O47" s="53">
        <f t="shared" si="6"/>
        <v>0.0699980938</v>
      </c>
      <c r="P47" s="111">
        <f>IFERROR(__xludf.DUMMYFUNCTION("GOOGLEFINANCE(""BVMF:UNIP6"")"),66.22)</f>
        <v>66.22</v>
      </c>
      <c r="Q47" s="55">
        <f t="shared" si="7"/>
        <v>61.39435459</v>
      </c>
      <c r="R47" s="56">
        <f t="shared" si="8"/>
        <v>-0.07860080037</v>
      </c>
      <c r="S47" s="80" t="s">
        <v>75</v>
      </c>
      <c r="T47" s="80" t="s">
        <v>224</v>
      </c>
      <c r="U47" s="58">
        <v>46091.0</v>
      </c>
    </row>
    <row r="48" ht="15.75" customHeight="1">
      <c r="A48" s="241" t="s">
        <v>51</v>
      </c>
      <c r="B48" s="242" t="s">
        <v>52</v>
      </c>
      <c r="C48" s="270" t="s">
        <v>53</v>
      </c>
      <c r="D48" s="257">
        <v>1.7336739E8</v>
      </c>
      <c r="E48" s="226">
        <f t="shared" si="1"/>
        <v>1333195229</v>
      </c>
      <c r="F48" s="227">
        <v>1.55E8</v>
      </c>
      <c r="G48" s="228">
        <f t="shared" si="2"/>
        <v>8.601259543</v>
      </c>
      <c r="H48" s="258">
        <v>9.8</v>
      </c>
      <c r="I48" s="230">
        <f t="shared" si="3"/>
        <v>-0.1223204548</v>
      </c>
      <c r="J48" s="245">
        <v>0.173</v>
      </c>
      <c r="K48" s="232">
        <v>-0.19</v>
      </c>
      <c r="L48" s="233">
        <f t="shared" si="4"/>
        <v>0.8940551046</v>
      </c>
      <c r="M48" s="246">
        <v>0.6</v>
      </c>
      <c r="N48" s="233">
        <f t="shared" si="9"/>
        <v>0.5364330628</v>
      </c>
      <c r="O48" s="235">
        <f t="shared" si="6"/>
        <v>0.06975722533</v>
      </c>
      <c r="P48" s="294">
        <f>IFERROR(__xludf.DUMMYFUNCTION("GOOGLEFINANCE(""BVMF:KEPL3"")"),7.69)</f>
        <v>7.69</v>
      </c>
      <c r="Q48" s="237">
        <f t="shared" si="7"/>
        <v>7.105073679</v>
      </c>
      <c r="R48" s="238">
        <f t="shared" si="8"/>
        <v>-0.08232515911</v>
      </c>
      <c r="S48" s="243" t="s">
        <v>36</v>
      </c>
      <c r="T48" s="243" t="s">
        <v>54</v>
      </c>
      <c r="U48" s="240">
        <v>46091.0</v>
      </c>
    </row>
    <row r="49" ht="15.75" customHeight="1">
      <c r="A49" s="40" t="s">
        <v>109</v>
      </c>
      <c r="B49" s="41" t="s">
        <v>110</v>
      </c>
      <c r="C49" s="106" t="s">
        <v>65</v>
      </c>
      <c r="D49" s="295">
        <v>1.59907E8</v>
      </c>
      <c r="E49" s="44">
        <f t="shared" si="1"/>
        <v>1434365790</v>
      </c>
      <c r="F49" s="45">
        <v>2.0E8</v>
      </c>
      <c r="G49" s="46">
        <f t="shared" si="2"/>
        <v>7.17182895</v>
      </c>
      <c r="H49" s="47">
        <v>8.6</v>
      </c>
      <c r="I49" s="48">
        <f t="shared" si="3"/>
        <v>-0.1660664012</v>
      </c>
      <c r="J49" s="49">
        <v>0.111</v>
      </c>
      <c r="K49" s="50">
        <v>0.7</v>
      </c>
      <c r="L49" s="51">
        <f t="shared" si="4"/>
        <v>1.250726985</v>
      </c>
      <c r="M49" s="52">
        <v>0.5</v>
      </c>
      <c r="N49" s="51">
        <f t="shared" si="9"/>
        <v>0.6253634925</v>
      </c>
      <c r="O49" s="53">
        <f t="shared" si="6"/>
        <v>0.06971722325</v>
      </c>
      <c r="P49" s="165">
        <f>IFERROR(__xludf.DUMMYFUNCTION("GOOGLEFINANCE(""BVMF:WIZC3"")"),8.97)</f>
        <v>8.97</v>
      </c>
      <c r="Q49" s="55">
        <f t="shared" si="7"/>
        <v>8.282960166</v>
      </c>
      <c r="R49" s="56">
        <f t="shared" si="8"/>
        <v>-0.08294617145</v>
      </c>
      <c r="S49" s="42" t="s">
        <v>111</v>
      </c>
      <c r="T49" s="57" t="s">
        <v>112</v>
      </c>
      <c r="U49" s="58">
        <v>46091.0</v>
      </c>
    </row>
    <row r="50" ht="15.75" customHeight="1">
      <c r="A50" s="296" t="s">
        <v>212</v>
      </c>
      <c r="B50" s="297" t="s">
        <v>254</v>
      </c>
      <c r="C50" s="298" t="s">
        <v>115</v>
      </c>
      <c r="D50" s="299">
        <v>7.2082E7</v>
      </c>
      <c r="E50" s="300">
        <f t="shared" si="1"/>
        <v>2248958400</v>
      </c>
      <c r="F50" s="291">
        <v>2.0E8</v>
      </c>
      <c r="G50" s="228">
        <f t="shared" si="2"/>
        <v>11.244792</v>
      </c>
      <c r="H50" s="301">
        <v>7.1</v>
      </c>
      <c r="I50" s="302">
        <f t="shared" si="3"/>
        <v>0.5837735211</v>
      </c>
      <c r="J50" s="303">
        <v>0.073</v>
      </c>
      <c r="K50" s="293">
        <v>-3.17</v>
      </c>
      <c r="L50" s="304">
        <f t="shared" si="4"/>
        <v>2.774617796</v>
      </c>
      <c r="M50" s="246">
        <v>0.778</v>
      </c>
      <c r="N50" s="304">
        <f t="shared" si="9"/>
        <v>2.158652646</v>
      </c>
      <c r="O50" s="305">
        <f t="shared" si="6"/>
        <v>0.06918758479</v>
      </c>
      <c r="P50" s="306">
        <f>IFERROR(__xludf.DUMMYFUNCTION("GOOGLEFINANCE(""BVMF:CEBR3"")"),31.2)</f>
        <v>31.2</v>
      </c>
      <c r="Q50" s="237">
        <f t="shared" si="7"/>
        <v>28.59142577</v>
      </c>
      <c r="R50" s="238">
        <f t="shared" si="8"/>
        <v>-0.09123624165</v>
      </c>
      <c r="S50" s="239" t="s">
        <v>75</v>
      </c>
      <c r="T50" s="239" t="s">
        <v>214</v>
      </c>
      <c r="U50" s="240">
        <v>46091.0</v>
      </c>
    </row>
    <row r="51" ht="15.75" customHeight="1">
      <c r="A51" s="40" t="s">
        <v>210</v>
      </c>
      <c r="B51" s="41" t="s">
        <v>211</v>
      </c>
      <c r="C51" s="106" t="s">
        <v>49</v>
      </c>
      <c r="D51" s="43">
        <v>3.47504E8</v>
      </c>
      <c r="E51" s="44">
        <f t="shared" si="1"/>
        <v>2988534400</v>
      </c>
      <c r="F51" s="45">
        <v>4.5E8</v>
      </c>
      <c r="G51" s="46">
        <f t="shared" si="2"/>
        <v>6.641187556</v>
      </c>
      <c r="H51" s="47">
        <v>7.2</v>
      </c>
      <c r="I51" s="48">
        <f t="shared" si="3"/>
        <v>-0.07761283951</v>
      </c>
      <c r="J51" s="49">
        <v>0.06</v>
      </c>
      <c r="K51" s="50">
        <v>0.0</v>
      </c>
      <c r="L51" s="51">
        <f t="shared" si="4"/>
        <v>1.294949123</v>
      </c>
      <c r="M51" s="67">
        <v>0.45</v>
      </c>
      <c r="N51" s="51">
        <f t="shared" si="9"/>
        <v>0.5827271053</v>
      </c>
      <c r="O51" s="53">
        <f t="shared" si="6"/>
        <v>0.06775896573</v>
      </c>
      <c r="P51" s="161">
        <f>IFERROR(__xludf.DUMMYFUNCTION("GOOGLEFINANCE(""BVMF:BEES3"")"),8.6)</f>
        <v>8.6</v>
      </c>
      <c r="Q51" s="55">
        <f t="shared" si="7"/>
        <v>7.718239805</v>
      </c>
      <c r="R51" s="56">
        <f t="shared" si="8"/>
        <v>-0.1142436899</v>
      </c>
      <c r="S51" s="42" t="s">
        <v>41</v>
      </c>
      <c r="T51" s="57" t="s">
        <v>87</v>
      </c>
      <c r="U51" s="58">
        <v>46091.0</v>
      </c>
    </row>
    <row r="52" ht="15.75" customHeight="1">
      <c r="A52" s="241" t="s">
        <v>151</v>
      </c>
      <c r="B52" s="242" t="s">
        <v>152</v>
      </c>
      <c r="C52" s="270" t="s">
        <v>49</v>
      </c>
      <c r="D52" s="225">
        <v>2.58440362E8</v>
      </c>
      <c r="E52" s="226">
        <f t="shared" si="1"/>
        <v>2990154988</v>
      </c>
      <c r="F52" s="227">
        <v>4.5E8</v>
      </c>
      <c r="G52" s="228">
        <f t="shared" si="2"/>
        <v>6.644788863</v>
      </c>
      <c r="H52" s="244">
        <v>7.2</v>
      </c>
      <c r="I52" s="230">
        <f t="shared" si="3"/>
        <v>-0.07711265792</v>
      </c>
      <c r="J52" s="292">
        <v>0.2986</v>
      </c>
      <c r="K52" s="232">
        <v>0.0</v>
      </c>
      <c r="L52" s="233">
        <f t="shared" si="4"/>
        <v>1.741214091</v>
      </c>
      <c r="M52" s="246">
        <v>0.45</v>
      </c>
      <c r="N52" s="233">
        <f t="shared" si="9"/>
        <v>0.783546341</v>
      </c>
      <c r="O52" s="235">
        <f t="shared" si="6"/>
        <v>0.06772224209</v>
      </c>
      <c r="P52" s="294">
        <f>IFERROR(__xludf.DUMMYFUNCTION("GOOGLEFINANCE(""BVMF:PINE4"")"),11.57)</f>
        <v>11.57</v>
      </c>
      <c r="Q52" s="237">
        <f t="shared" si="7"/>
        <v>10.37809723</v>
      </c>
      <c r="R52" s="238">
        <f t="shared" si="8"/>
        <v>-0.1148479092</v>
      </c>
      <c r="S52" s="243" t="s">
        <v>31</v>
      </c>
      <c r="T52" s="243" t="s">
        <v>153</v>
      </c>
      <c r="U52" s="240">
        <v>46091.0</v>
      </c>
    </row>
    <row r="53" ht="15.75" customHeight="1">
      <c r="A53" s="61" t="s">
        <v>94</v>
      </c>
      <c r="B53" s="62" t="s">
        <v>95</v>
      </c>
      <c r="C53" s="63" t="s">
        <v>61</v>
      </c>
      <c r="D53" s="64">
        <v>1.2096114E8</v>
      </c>
      <c r="E53" s="44">
        <f t="shared" si="1"/>
        <v>864872151</v>
      </c>
      <c r="F53" s="45">
        <v>1.3E8</v>
      </c>
      <c r="G53" s="46">
        <f t="shared" si="2"/>
        <v>6.6528627</v>
      </c>
      <c r="H53" s="81">
        <v>5.9</v>
      </c>
      <c r="I53" s="48">
        <f t="shared" si="3"/>
        <v>0.1276038475</v>
      </c>
      <c r="J53" s="66">
        <v>0.028</v>
      </c>
      <c r="K53" s="82">
        <v>0.08</v>
      </c>
      <c r="L53" s="51">
        <f t="shared" si="4"/>
        <v>1.074725321</v>
      </c>
      <c r="M53" s="67">
        <v>0.45</v>
      </c>
      <c r="N53" s="51">
        <f t="shared" si="9"/>
        <v>0.4836263944</v>
      </c>
      <c r="O53" s="53">
        <f t="shared" si="6"/>
        <v>0.06764005516</v>
      </c>
      <c r="P53" s="161">
        <f>IFERROR(__xludf.DUMMYFUNCTION("GOOGLEFINANCE(""BVMF:DEXP3"")"),7.15)</f>
        <v>7.15</v>
      </c>
      <c r="Q53" s="55">
        <f t="shared" si="7"/>
        <v>6.405647608</v>
      </c>
      <c r="R53" s="56">
        <f t="shared" si="8"/>
        <v>-0.1162025197</v>
      </c>
      <c r="S53" s="80" t="s">
        <v>75</v>
      </c>
      <c r="T53" s="80" t="s">
        <v>96</v>
      </c>
      <c r="U53" s="58">
        <v>46091.0</v>
      </c>
    </row>
    <row r="54" ht="15.75" customHeight="1">
      <c r="A54" s="241" t="s">
        <v>43</v>
      </c>
      <c r="B54" s="242" t="s">
        <v>44</v>
      </c>
      <c r="C54" s="270" t="s">
        <v>45</v>
      </c>
      <c r="D54" s="225">
        <v>1.989711987E9</v>
      </c>
      <c r="E54" s="226">
        <f t="shared" si="1"/>
        <v>31119095477</v>
      </c>
      <c r="F54" s="227">
        <v>3.5E9</v>
      </c>
      <c r="G54" s="228">
        <f t="shared" si="2"/>
        <v>8.891170136</v>
      </c>
      <c r="H54" s="244">
        <v>10.5</v>
      </c>
      <c r="I54" s="230">
        <f t="shared" si="3"/>
        <v>-0.1532218918</v>
      </c>
      <c r="J54" s="245">
        <v>0.067</v>
      </c>
      <c r="K54" s="253">
        <v>0.85</v>
      </c>
      <c r="L54" s="233">
        <f t="shared" si="4"/>
        <v>1.759048557</v>
      </c>
      <c r="M54" s="246">
        <v>0.6</v>
      </c>
      <c r="N54" s="233">
        <f t="shared" si="9"/>
        <v>1.055429134</v>
      </c>
      <c r="O54" s="235">
        <f t="shared" si="6"/>
        <v>0.06748268122</v>
      </c>
      <c r="P54" s="294">
        <f>IFERROR(__xludf.DUMMYFUNCTION("GOOGLEFINANCE(""BVMF:GGBR3"")"),15.64)</f>
        <v>15.64</v>
      </c>
      <c r="Q54" s="237">
        <f t="shared" si="7"/>
        <v>13.97919383</v>
      </c>
      <c r="R54" s="238">
        <f t="shared" si="8"/>
        <v>-0.1188055755</v>
      </c>
      <c r="S54" s="243" t="s">
        <v>31</v>
      </c>
      <c r="T54" s="243" t="s">
        <v>46</v>
      </c>
      <c r="U54" s="240">
        <v>46091.0</v>
      </c>
    </row>
    <row r="55" ht="15.75" customHeight="1">
      <c r="A55" s="61" t="s">
        <v>145</v>
      </c>
      <c r="B55" s="62" t="s">
        <v>146</v>
      </c>
      <c r="C55" s="63" t="s">
        <v>49</v>
      </c>
      <c r="D55" s="129">
        <v>5.6058E7</v>
      </c>
      <c r="E55" s="44">
        <f t="shared" si="1"/>
        <v>4690372860</v>
      </c>
      <c r="F55" s="45">
        <v>9.0E8</v>
      </c>
      <c r="G55" s="46">
        <f t="shared" si="2"/>
        <v>5.2115254</v>
      </c>
      <c r="H55" s="81">
        <v>4.9</v>
      </c>
      <c r="I55" s="48">
        <f t="shared" si="3"/>
        <v>0.06357661224</v>
      </c>
      <c r="J55" s="66">
        <v>0.359</v>
      </c>
      <c r="K55" s="82">
        <v>0.0</v>
      </c>
      <c r="L55" s="51">
        <f t="shared" si="4"/>
        <v>16.05480039</v>
      </c>
      <c r="M55" s="67">
        <v>0.35</v>
      </c>
      <c r="N55" s="51">
        <f t="shared" si="9"/>
        <v>5.619180135</v>
      </c>
      <c r="O55" s="53">
        <f t="shared" si="6"/>
        <v>0.06715883991</v>
      </c>
      <c r="P55" s="161">
        <f>IFERROR(__xludf.DUMMYFUNCTION("GOOGLEFINANCE(""BVMF:BAZA3"")"),83.67)</f>
        <v>83.67</v>
      </c>
      <c r="Q55" s="55">
        <f t="shared" si="7"/>
        <v>74.42622695</v>
      </c>
      <c r="R55" s="56">
        <f t="shared" si="8"/>
        <v>-0.1242004791</v>
      </c>
      <c r="S55" s="80" t="s">
        <v>111</v>
      </c>
      <c r="T55" s="80" t="s">
        <v>112</v>
      </c>
      <c r="U55" s="58">
        <v>46091.0</v>
      </c>
    </row>
    <row r="56" ht="15.75" customHeight="1">
      <c r="A56" s="241" t="s">
        <v>234</v>
      </c>
      <c r="B56" s="242" t="s">
        <v>235</v>
      </c>
      <c r="C56" s="270" t="s">
        <v>30</v>
      </c>
      <c r="D56" s="225">
        <v>5.168573066E9</v>
      </c>
      <c r="E56" s="226">
        <f t="shared" si="1"/>
        <v>87245513354</v>
      </c>
      <c r="F56" s="227">
        <v>5.7E9</v>
      </c>
      <c r="G56" s="228">
        <f t="shared" si="2"/>
        <v>15.30623041</v>
      </c>
      <c r="H56" s="258">
        <v>21.0</v>
      </c>
      <c r="I56" s="230">
        <f t="shared" si="3"/>
        <v>-0.2711318851</v>
      </c>
      <c r="J56" s="245">
        <v>0.147</v>
      </c>
      <c r="K56" s="232">
        <v>0.05</v>
      </c>
      <c r="L56" s="233">
        <f t="shared" si="4"/>
        <v>1.102818888</v>
      </c>
      <c r="M56" s="281">
        <v>1.0</v>
      </c>
      <c r="N56" s="233">
        <f t="shared" si="9"/>
        <v>1.102818888</v>
      </c>
      <c r="O56" s="235">
        <f t="shared" si="6"/>
        <v>0.0653328725</v>
      </c>
      <c r="P56" s="294">
        <f>IFERROR(__xludf.DUMMYFUNCTION("GOOGLEFINANCE(""BVMF:B3SA3"")"),16.88)</f>
        <v>16.88</v>
      </c>
      <c r="Q56" s="237">
        <f t="shared" si="7"/>
        <v>14.60687269</v>
      </c>
      <c r="R56" s="238">
        <f t="shared" si="8"/>
        <v>-0.1556203962</v>
      </c>
      <c r="S56" s="243" t="s">
        <v>31</v>
      </c>
      <c r="T56" s="243" t="s">
        <v>236</v>
      </c>
      <c r="U56" s="240">
        <v>46091.0</v>
      </c>
    </row>
    <row r="57" ht="15.75" customHeight="1">
      <c r="A57" s="40" t="s">
        <v>237</v>
      </c>
      <c r="B57" s="41" t="s">
        <v>238</v>
      </c>
      <c r="C57" s="125" t="s">
        <v>115</v>
      </c>
      <c r="D57" s="43">
        <v>2.855268322E9</v>
      </c>
      <c r="E57" s="44">
        <f t="shared" si="1"/>
        <v>165605562676</v>
      </c>
      <c r="F57" s="45">
        <v>1.2E10</v>
      </c>
      <c r="G57" s="46">
        <f t="shared" si="2"/>
        <v>13.80046356</v>
      </c>
      <c r="H57" s="47">
        <v>9.3</v>
      </c>
      <c r="I57" s="48">
        <f t="shared" si="3"/>
        <v>0.4839208125</v>
      </c>
      <c r="J57" s="49">
        <v>0.0075</v>
      </c>
      <c r="K57" s="50">
        <v>1.8</v>
      </c>
      <c r="L57" s="51">
        <f t="shared" si="4"/>
        <v>4.202757376</v>
      </c>
      <c r="M57" s="52">
        <v>0.85</v>
      </c>
      <c r="N57" s="51">
        <f t="shared" si="9"/>
        <v>3.572343769</v>
      </c>
      <c r="O57" s="53">
        <f t="shared" si="6"/>
        <v>0.06159213395</v>
      </c>
      <c r="P57" s="165">
        <f>IFERROR(__xludf.DUMMYFUNCTION("GOOGLEFINANCE(""BVMF:AXIA3"")"),58.0)</f>
        <v>58</v>
      </c>
      <c r="Q57" s="55">
        <f t="shared" si="7"/>
        <v>47.31581151</v>
      </c>
      <c r="R57" s="56">
        <f t="shared" si="8"/>
        <v>-0.2258058806</v>
      </c>
      <c r="S57" s="127" t="s">
        <v>75</v>
      </c>
      <c r="T57" s="128" t="s">
        <v>239</v>
      </c>
      <c r="U57" s="58">
        <v>46091.0</v>
      </c>
    </row>
    <row r="58" ht="15.75" customHeight="1">
      <c r="A58" s="241" t="s">
        <v>258</v>
      </c>
      <c r="B58" s="242" t="s">
        <v>259</v>
      </c>
      <c r="C58" s="270" t="s">
        <v>115</v>
      </c>
      <c r="D58" s="225">
        <v>2.9692886E9</v>
      </c>
      <c r="E58" s="226">
        <f t="shared" si="1"/>
        <v>41837276374</v>
      </c>
      <c r="F58" s="227">
        <v>2.7E9</v>
      </c>
      <c r="G58" s="228">
        <f t="shared" si="2"/>
        <v>15.49528755</v>
      </c>
      <c r="H58" s="244">
        <v>8.8</v>
      </c>
      <c r="I58" s="230">
        <f t="shared" si="3"/>
        <v>0.7608281302</v>
      </c>
      <c r="J58" s="245">
        <v>-0.05</v>
      </c>
      <c r="K58" s="232">
        <v>2.3</v>
      </c>
      <c r="L58" s="233">
        <f t="shared" si="4"/>
        <v>0.9093087146</v>
      </c>
      <c r="M58" s="246">
        <v>0.95</v>
      </c>
      <c r="N58" s="233">
        <f t="shared" si="9"/>
        <v>0.8638432788</v>
      </c>
      <c r="O58" s="235">
        <f t="shared" si="6"/>
        <v>0.0613089623</v>
      </c>
      <c r="P58" s="294">
        <f>IFERROR(__xludf.DUMMYFUNCTION("GOOGLEFINANCE(""BVMF:CPLE3"")"),14.09)</f>
        <v>14.09</v>
      </c>
      <c r="Q58" s="237">
        <f t="shared" si="7"/>
        <v>11.44163283</v>
      </c>
      <c r="R58" s="238">
        <f t="shared" si="8"/>
        <v>-0.2314675892</v>
      </c>
      <c r="S58" s="243" t="s">
        <v>75</v>
      </c>
      <c r="T58" s="243" t="s">
        <v>150</v>
      </c>
      <c r="U58" s="240">
        <v>46091.0</v>
      </c>
    </row>
    <row r="59" ht="15.75" customHeight="1">
      <c r="A59" s="61" t="s">
        <v>160</v>
      </c>
      <c r="B59" s="62" t="s">
        <v>161</v>
      </c>
      <c r="C59" s="63" t="s">
        <v>61</v>
      </c>
      <c r="D59" s="129">
        <v>9.3171E7</v>
      </c>
      <c r="E59" s="44">
        <f t="shared" si="1"/>
        <v>736050900</v>
      </c>
      <c r="F59" s="45">
        <v>9.0E7</v>
      </c>
      <c r="G59" s="46">
        <f t="shared" si="2"/>
        <v>8.178343333</v>
      </c>
      <c r="H59" s="65">
        <v>8.7</v>
      </c>
      <c r="I59" s="48">
        <f t="shared" si="3"/>
        <v>-0.0599605364</v>
      </c>
      <c r="J59" s="66">
        <v>-0.12</v>
      </c>
      <c r="K59" s="82">
        <v>3.04</v>
      </c>
      <c r="L59" s="51">
        <f t="shared" si="4"/>
        <v>0.9659658048</v>
      </c>
      <c r="M59" s="67">
        <v>0.5</v>
      </c>
      <c r="N59" s="51">
        <f t="shared" si="9"/>
        <v>0.4829829024</v>
      </c>
      <c r="O59" s="53">
        <f t="shared" si="6"/>
        <v>0.06113707625</v>
      </c>
      <c r="P59" s="161">
        <f>IFERROR(__xludf.DUMMYFUNCTION("GOOGLEFINANCE(""BVMF:ROMI3"")"),7.9)</f>
        <v>7.9</v>
      </c>
      <c r="Q59" s="55">
        <f t="shared" si="7"/>
        <v>6.397124535</v>
      </c>
      <c r="R59" s="56">
        <f t="shared" si="8"/>
        <v>-0.2349298433</v>
      </c>
      <c r="S59" s="80" t="s">
        <v>31</v>
      </c>
      <c r="T59" s="80" t="s">
        <v>162</v>
      </c>
      <c r="U59" s="58">
        <v>46091.0</v>
      </c>
    </row>
    <row r="60" ht="15.75" customHeight="1">
      <c r="A60" s="241" t="s">
        <v>221</v>
      </c>
      <c r="B60" s="242" t="s">
        <v>222</v>
      </c>
      <c r="C60" s="270" t="s">
        <v>223</v>
      </c>
      <c r="D60" s="257">
        <v>5.44279713E8</v>
      </c>
      <c r="E60" s="226">
        <f t="shared" si="1"/>
        <v>8376464783</v>
      </c>
      <c r="F60" s="227">
        <v>6.8E8</v>
      </c>
      <c r="G60" s="228">
        <f t="shared" si="2"/>
        <v>12.31833056</v>
      </c>
      <c r="H60" s="244">
        <v>25.0</v>
      </c>
      <c r="I60" s="230">
        <f t="shared" si="3"/>
        <v>-0.5072667775</v>
      </c>
      <c r="J60" s="245">
        <v>0.178</v>
      </c>
      <c r="K60" s="232">
        <v>1.51</v>
      </c>
      <c r="L60" s="233">
        <f t="shared" si="4"/>
        <v>1.249357607</v>
      </c>
      <c r="M60" s="246">
        <v>0.75</v>
      </c>
      <c r="N60" s="233">
        <f t="shared" si="9"/>
        <v>0.9370182056</v>
      </c>
      <c r="O60" s="235">
        <f t="shared" si="6"/>
        <v>0.06088487366</v>
      </c>
      <c r="P60" s="294">
        <f>IFERROR(__xludf.DUMMYFUNCTION("GOOGLEFINANCE(""BVMF:FLRY3"")"),15.39)</f>
        <v>15.39</v>
      </c>
      <c r="Q60" s="237">
        <f t="shared" si="7"/>
        <v>12.41083716</v>
      </c>
      <c r="R60" s="238">
        <f t="shared" si="8"/>
        <v>-0.2400452767</v>
      </c>
      <c r="S60" s="243" t="s">
        <v>75</v>
      </c>
      <c r="T60" s="243" t="s">
        <v>224</v>
      </c>
      <c r="U60" s="240">
        <v>46091.0</v>
      </c>
    </row>
    <row r="61" ht="15.75" customHeight="1">
      <c r="A61" s="61" t="s">
        <v>207</v>
      </c>
      <c r="B61" s="62" t="s">
        <v>208</v>
      </c>
      <c r="C61" s="63" t="s">
        <v>115</v>
      </c>
      <c r="D61" s="129">
        <f>914275704/3</f>
        <v>304758568</v>
      </c>
      <c r="E61" s="44">
        <f t="shared" si="1"/>
        <v>10508075425</v>
      </c>
      <c r="F61" s="45">
        <v>9.5E8</v>
      </c>
      <c r="G61" s="46">
        <f t="shared" si="2"/>
        <v>11.06113203</v>
      </c>
      <c r="H61" s="81">
        <v>11.2</v>
      </c>
      <c r="I61" s="48">
        <f t="shared" si="3"/>
        <v>-0.01239892626</v>
      </c>
      <c r="J61" s="66">
        <v>-0.023</v>
      </c>
      <c r="K61" s="82">
        <v>3.5</v>
      </c>
      <c r="L61" s="51">
        <f t="shared" si="4"/>
        <v>3.11722163</v>
      </c>
      <c r="M61" s="83">
        <v>0.65</v>
      </c>
      <c r="N61" s="51">
        <f t="shared" si="9"/>
        <v>2.026194059</v>
      </c>
      <c r="O61" s="53">
        <f t="shared" si="6"/>
        <v>0.05876432887</v>
      </c>
      <c r="P61" s="175">
        <f>IFERROR(__xludf.DUMMYFUNCTION("GOOGLEFINANCE(""BVMF:ALUP11"")"),34.48)</f>
        <v>34.48</v>
      </c>
      <c r="Q61" s="55">
        <f t="shared" si="7"/>
        <v>26.83700741</v>
      </c>
      <c r="R61" s="56">
        <f t="shared" si="8"/>
        <v>-0.2847930276</v>
      </c>
      <c r="S61" s="80" t="s">
        <v>31</v>
      </c>
      <c r="T61" s="80" t="s">
        <v>209</v>
      </c>
      <c r="U61" s="58">
        <v>46091.0</v>
      </c>
    </row>
    <row r="62" ht="15.75" customHeight="1">
      <c r="A62" s="241" t="s">
        <v>231</v>
      </c>
      <c r="B62" s="242" t="s">
        <v>232</v>
      </c>
      <c r="C62" s="270" t="s">
        <v>174</v>
      </c>
      <c r="D62" s="225">
        <v>2.92973655E8</v>
      </c>
      <c r="E62" s="226">
        <f t="shared" si="1"/>
        <v>3761781730</v>
      </c>
      <c r="F62" s="227">
        <v>4.4E8</v>
      </c>
      <c r="G62" s="228">
        <f t="shared" si="2"/>
        <v>8.549503932</v>
      </c>
      <c r="H62" s="258">
        <v>9.3</v>
      </c>
      <c r="I62" s="230">
        <f t="shared" si="3"/>
        <v>-0.08069850191</v>
      </c>
      <c r="J62" s="292">
        <v>0.3173</v>
      </c>
      <c r="K62" s="253">
        <v>1.0</v>
      </c>
      <c r="L62" s="233">
        <f t="shared" si="4"/>
        <v>1.501841522</v>
      </c>
      <c r="M62" s="246">
        <v>0.5</v>
      </c>
      <c r="N62" s="233">
        <f t="shared" si="9"/>
        <v>0.7509207611</v>
      </c>
      <c r="O62" s="235">
        <f t="shared" si="6"/>
        <v>0.05848292532</v>
      </c>
      <c r="P62" s="307">
        <f>IFERROR(__xludf.DUMMYFUNCTION("GOOGLEFINANCE(""BVMF:RECV3"")"),12.84)</f>
        <v>12.84</v>
      </c>
      <c r="Q62" s="237">
        <f t="shared" si="7"/>
        <v>9.945970346</v>
      </c>
      <c r="R62" s="238">
        <f t="shared" si="8"/>
        <v>-0.2909750938</v>
      </c>
      <c r="S62" s="243" t="s">
        <v>75</v>
      </c>
      <c r="T62" s="308" t="s">
        <v>233</v>
      </c>
      <c r="U62" s="240">
        <v>46091.0</v>
      </c>
    </row>
    <row r="63" ht="15.75" customHeight="1">
      <c r="A63" s="61" t="s">
        <v>38</v>
      </c>
      <c r="B63" s="62" t="s">
        <v>39</v>
      </c>
      <c r="C63" s="63" t="s">
        <v>40</v>
      </c>
      <c r="D63" s="64">
        <v>3.12632756E8</v>
      </c>
      <c r="E63" s="44">
        <f t="shared" si="1"/>
        <v>5130303526</v>
      </c>
      <c r="F63" s="45">
        <v>6.0E8</v>
      </c>
      <c r="G63" s="46">
        <f t="shared" si="2"/>
        <v>8.550505877</v>
      </c>
      <c r="H63" s="65">
        <v>9.5</v>
      </c>
      <c r="I63" s="48">
        <f t="shared" si="3"/>
        <v>-0.09994674983</v>
      </c>
      <c r="J63" s="66">
        <v>0.795</v>
      </c>
      <c r="K63" s="50">
        <v>0.9</v>
      </c>
      <c r="L63" s="51">
        <f t="shared" si="4"/>
        <v>1.919184693</v>
      </c>
      <c r="M63" s="67">
        <v>0.5</v>
      </c>
      <c r="N63" s="51">
        <f t="shared" si="9"/>
        <v>0.9595923467</v>
      </c>
      <c r="O63" s="53">
        <f t="shared" si="6"/>
        <v>0.05847607232</v>
      </c>
      <c r="P63" s="172">
        <f>IFERROR(__xludf.DUMMYFUNCTION("GOOGLEFINANCE(""BVMF:VULC3"")"),16.41)</f>
        <v>16.41</v>
      </c>
      <c r="Q63" s="55">
        <f t="shared" si="7"/>
        <v>12.70983241</v>
      </c>
      <c r="R63" s="56">
        <f t="shared" si="8"/>
        <v>-0.2911263874</v>
      </c>
      <c r="S63" s="69" t="s">
        <v>41</v>
      </c>
      <c r="T63" s="69" t="s">
        <v>42</v>
      </c>
      <c r="U63" s="58">
        <v>46091.0</v>
      </c>
    </row>
    <row r="64" ht="15.75" customHeight="1">
      <c r="A64" s="241" t="s">
        <v>270</v>
      </c>
      <c r="B64" s="242" t="s">
        <v>271</v>
      </c>
      <c r="C64" s="270" t="s">
        <v>272</v>
      </c>
      <c r="D64" s="257">
        <v>1.5727892789E10</v>
      </c>
      <c r="E64" s="226">
        <f t="shared" si="1"/>
        <v>235918391835</v>
      </c>
      <c r="F64" s="227">
        <v>1.53E10</v>
      </c>
      <c r="G64" s="228">
        <f t="shared" si="2"/>
        <v>15.41950273</v>
      </c>
      <c r="H64" s="244">
        <v>22.0</v>
      </c>
      <c r="I64" s="230">
        <f t="shared" si="3"/>
        <v>-0.2991135121</v>
      </c>
      <c r="J64" s="245">
        <v>0.053</v>
      </c>
      <c r="K64" s="232">
        <v>-0.57</v>
      </c>
      <c r="L64" s="233">
        <f t="shared" si="4"/>
        <v>0.9727940167</v>
      </c>
      <c r="M64" s="246">
        <v>0.9</v>
      </c>
      <c r="N64" s="233">
        <f t="shared" si="9"/>
        <v>0.875514615</v>
      </c>
      <c r="O64" s="235">
        <f t="shared" si="6"/>
        <v>0.058367641</v>
      </c>
      <c r="P64" s="309">
        <f>IFERROR(__xludf.DUMMYFUNCTION("GOOGLEFINANCE(""BVMF:ABEV3"")"),15.0)</f>
        <v>15</v>
      </c>
      <c r="Q64" s="237">
        <f t="shared" si="7"/>
        <v>11.59622007</v>
      </c>
      <c r="R64" s="238">
        <f t="shared" si="8"/>
        <v>-0.2935249516</v>
      </c>
      <c r="S64" s="243" t="s">
        <v>111</v>
      </c>
      <c r="T64" s="243" t="s">
        <v>253</v>
      </c>
      <c r="U64" s="240">
        <v>46091.0</v>
      </c>
    </row>
    <row r="65" ht="15.75" customHeight="1">
      <c r="A65" s="61" t="s">
        <v>67</v>
      </c>
      <c r="B65" s="62" t="s">
        <v>68</v>
      </c>
      <c r="C65" s="63" t="s">
        <v>65</v>
      </c>
      <c r="D65" s="129">
        <v>6.4658606E8</v>
      </c>
      <c r="E65" s="44">
        <f t="shared" si="1"/>
        <v>31883158619</v>
      </c>
      <c r="F65" s="45">
        <v>3.7E9</v>
      </c>
      <c r="G65" s="46">
        <f t="shared" si="2"/>
        <v>8.617069897</v>
      </c>
      <c r="H65" s="65">
        <v>11.0</v>
      </c>
      <c r="I65" s="48">
        <f t="shared" si="3"/>
        <v>-0.2166300094</v>
      </c>
      <c r="J65" s="66">
        <v>0.134</v>
      </c>
      <c r="K65" s="82">
        <v>0.0</v>
      </c>
      <c r="L65" s="51">
        <f t="shared" si="4"/>
        <v>5.722362774</v>
      </c>
      <c r="M65" s="83">
        <v>0.5</v>
      </c>
      <c r="N65" s="51">
        <f t="shared" si="9"/>
        <v>2.861181387</v>
      </c>
      <c r="O65" s="53">
        <f t="shared" si="6"/>
        <v>0.05802436396</v>
      </c>
      <c r="P65" s="175">
        <f>IFERROR(__xludf.DUMMYFUNCTION("GOOGLEFINANCE(""BVMF:PSSA3"")"),49.31)</f>
        <v>49.31</v>
      </c>
      <c r="Q65" s="55">
        <f t="shared" si="7"/>
        <v>37.89644221</v>
      </c>
      <c r="R65" s="56">
        <f t="shared" si="8"/>
        <v>-0.3011775544</v>
      </c>
      <c r="S65" s="80" t="s">
        <v>36</v>
      </c>
      <c r="T65" s="80" t="s">
        <v>69</v>
      </c>
      <c r="U65" s="58">
        <v>46091.0</v>
      </c>
    </row>
    <row r="66" ht="15.75" customHeight="1">
      <c r="A66" s="241" t="s">
        <v>251</v>
      </c>
      <c r="B66" s="242" t="s">
        <v>252</v>
      </c>
      <c r="C66" s="270" t="s">
        <v>115</v>
      </c>
      <c r="D66" s="257">
        <v>6.58883304E8</v>
      </c>
      <c r="E66" s="226">
        <f t="shared" si="1"/>
        <v>18237889855</v>
      </c>
      <c r="F66" s="227">
        <v>1.4E9</v>
      </c>
      <c r="G66" s="228">
        <f t="shared" si="2"/>
        <v>13.02706418</v>
      </c>
      <c r="H66" s="244">
        <v>7.8</v>
      </c>
      <c r="I66" s="230">
        <f t="shared" si="3"/>
        <v>0.6701364336</v>
      </c>
      <c r="J66" s="245">
        <v>-0.005</v>
      </c>
      <c r="K66" s="232">
        <v>3.16</v>
      </c>
      <c r="L66" s="233">
        <f t="shared" si="4"/>
        <v>2.124807218</v>
      </c>
      <c r="M66" s="281">
        <v>0.75</v>
      </c>
      <c r="N66" s="233">
        <f t="shared" si="9"/>
        <v>1.593605413</v>
      </c>
      <c r="O66" s="235">
        <f t="shared" si="6"/>
        <v>0.0575724499</v>
      </c>
      <c r="P66" s="309">
        <f>IFERROR(__xludf.DUMMYFUNCTION("GOOGLEFINANCE(""BVMF:ISAE4"")"),27.68)</f>
        <v>27.68</v>
      </c>
      <c r="Q66" s="237">
        <f t="shared" si="7"/>
        <v>21.10735647</v>
      </c>
      <c r="R66" s="238">
        <f t="shared" si="8"/>
        <v>-0.3113911276</v>
      </c>
      <c r="S66" s="243" t="s">
        <v>111</v>
      </c>
      <c r="T66" s="243" t="s">
        <v>253</v>
      </c>
      <c r="U66" s="240">
        <v>46091.0</v>
      </c>
    </row>
    <row r="67" ht="15.75" customHeight="1">
      <c r="A67" s="61" t="s">
        <v>219</v>
      </c>
      <c r="B67" s="62" t="s">
        <v>220</v>
      </c>
      <c r="C67" s="63" t="s">
        <v>174</v>
      </c>
      <c r="D67" s="129">
        <v>1.2888732761E10</v>
      </c>
      <c r="E67" s="44">
        <f t="shared" si="1"/>
        <v>575739692434</v>
      </c>
      <c r="F67" s="45">
        <v>7.3E10</v>
      </c>
      <c r="G67" s="46">
        <f t="shared" si="2"/>
        <v>7.886845102</v>
      </c>
      <c r="H67" s="65">
        <v>6.2</v>
      </c>
      <c r="I67" s="48">
        <f t="shared" si="3"/>
        <v>0.2720717906</v>
      </c>
      <c r="J67" s="66">
        <v>0.656</v>
      </c>
      <c r="K67" s="50">
        <v>1.53</v>
      </c>
      <c r="L67" s="51">
        <f t="shared" si="4"/>
        <v>5.663861712</v>
      </c>
      <c r="M67" s="83">
        <v>0.45</v>
      </c>
      <c r="N67" s="51">
        <f t="shared" si="9"/>
        <v>2.54873777</v>
      </c>
      <c r="O67" s="53">
        <f t="shared" si="6"/>
        <v>0.05705703538</v>
      </c>
      <c r="P67" s="176">
        <f>IFERROR(__xludf.DUMMYFUNCTION("GOOGLEFINANCE(""BVMF:PETR4"")"),44.67)</f>
        <v>44.67</v>
      </c>
      <c r="Q67" s="55">
        <f t="shared" si="7"/>
        <v>33.75811616</v>
      </c>
      <c r="R67" s="56">
        <f t="shared" si="8"/>
        <v>-0.3232373449</v>
      </c>
      <c r="S67" s="80" t="s">
        <v>31</v>
      </c>
      <c r="T67" s="80" t="s">
        <v>209</v>
      </c>
      <c r="U67" s="58">
        <v>46091.0</v>
      </c>
    </row>
    <row r="68" ht="15.75" customHeight="1">
      <c r="A68" s="241" t="s">
        <v>245</v>
      </c>
      <c r="B68" s="242" t="s">
        <v>246</v>
      </c>
      <c r="C68" s="270" t="s">
        <v>115</v>
      </c>
      <c r="D68" s="257">
        <v>2.861781207E9</v>
      </c>
      <c r="E68" s="226">
        <f t="shared" si="1"/>
        <v>33540075746</v>
      </c>
      <c r="F68" s="227">
        <v>3.8E9</v>
      </c>
      <c r="G68" s="228">
        <f t="shared" si="2"/>
        <v>8.826335723</v>
      </c>
      <c r="H68" s="244">
        <v>8.2</v>
      </c>
      <c r="I68" s="230">
        <f t="shared" si="3"/>
        <v>0.0763824052</v>
      </c>
      <c r="J68" s="245">
        <v>0.196</v>
      </c>
      <c r="K68" s="253">
        <v>1.76</v>
      </c>
      <c r="L68" s="233">
        <f t="shared" si="4"/>
        <v>1.327844348</v>
      </c>
      <c r="M68" s="246">
        <v>0.5</v>
      </c>
      <c r="N68" s="233">
        <f t="shared" si="9"/>
        <v>0.6639221738</v>
      </c>
      <c r="O68" s="235">
        <f t="shared" si="6"/>
        <v>0.05664864964</v>
      </c>
      <c r="P68" s="310">
        <f>IFERROR(__xludf.DUMMYFUNCTION("GOOGLEFINANCE(""BVMF:CMIG4"")"),11.72)</f>
        <v>11.72</v>
      </c>
      <c r="Q68" s="237">
        <f t="shared" si="7"/>
        <v>8.793671177</v>
      </c>
      <c r="R68" s="238">
        <f t="shared" si="8"/>
        <v>-0.3327766941</v>
      </c>
      <c r="S68" s="243" t="s">
        <v>26</v>
      </c>
      <c r="T68" s="243" t="s">
        <v>108</v>
      </c>
      <c r="U68" s="240">
        <v>46091.0</v>
      </c>
    </row>
    <row r="69" ht="15.75" customHeight="1">
      <c r="A69" s="61" t="s">
        <v>255</v>
      </c>
      <c r="B69" s="62" t="s">
        <v>256</v>
      </c>
      <c r="C69" s="63" t="s">
        <v>61</v>
      </c>
      <c r="D69" s="129">
        <v>2.25E7</v>
      </c>
      <c r="E69" s="44">
        <f t="shared" si="1"/>
        <v>319050000</v>
      </c>
      <c r="F69" s="45">
        <v>6.0E7</v>
      </c>
      <c r="G69" s="46">
        <f t="shared" si="2"/>
        <v>5.3175</v>
      </c>
      <c r="H69" s="65">
        <v>6.8</v>
      </c>
      <c r="I69" s="48">
        <f t="shared" si="3"/>
        <v>-0.2180147059</v>
      </c>
      <c r="J69" s="66">
        <v>0.303</v>
      </c>
      <c r="K69" s="82">
        <v>0.77</v>
      </c>
      <c r="L69" s="51">
        <f t="shared" si="4"/>
        <v>2.666666667</v>
      </c>
      <c r="M69" s="83">
        <v>0.3</v>
      </c>
      <c r="N69" s="51">
        <f t="shared" si="9"/>
        <v>0.8</v>
      </c>
      <c r="O69" s="53">
        <f t="shared" si="6"/>
        <v>0.05641748942</v>
      </c>
      <c r="P69" s="176">
        <f>IFERROR(__xludf.DUMMYFUNCTION("GOOGLEFINANCE(""BVMF:EALT4"")"),14.18)</f>
        <v>14.18</v>
      </c>
      <c r="Q69" s="55">
        <f t="shared" si="7"/>
        <v>10.59602649</v>
      </c>
      <c r="R69" s="56">
        <f t="shared" si="8"/>
        <v>-0.3382375</v>
      </c>
      <c r="S69" s="80" t="s">
        <v>36</v>
      </c>
      <c r="T69" s="80" t="s">
        <v>257</v>
      </c>
      <c r="U69" s="58">
        <v>46091.0</v>
      </c>
    </row>
    <row r="70" ht="15.75" customHeight="1">
      <c r="A70" s="241" t="s">
        <v>154</v>
      </c>
      <c r="B70" s="242" t="s">
        <v>155</v>
      </c>
      <c r="C70" s="270" t="s">
        <v>45</v>
      </c>
      <c r="D70" s="225">
        <v>3.388676E8</v>
      </c>
      <c r="E70" s="226">
        <f t="shared" si="1"/>
        <v>2511008916</v>
      </c>
      <c r="F70" s="227">
        <v>2.0E8</v>
      </c>
      <c r="G70" s="228">
        <f t="shared" si="2"/>
        <v>12.55504458</v>
      </c>
      <c r="H70" s="244">
        <v>9.4</v>
      </c>
      <c r="I70" s="230">
        <f t="shared" si="3"/>
        <v>0.3356430404</v>
      </c>
      <c r="J70" s="245">
        <v>0.313</v>
      </c>
      <c r="K70" s="232">
        <v>-1.33</v>
      </c>
      <c r="L70" s="233">
        <f t="shared" si="4"/>
        <v>0.5902010107</v>
      </c>
      <c r="M70" s="246">
        <v>0.7</v>
      </c>
      <c r="N70" s="233">
        <f t="shared" si="9"/>
        <v>0.4131407075</v>
      </c>
      <c r="O70" s="235">
        <f t="shared" si="6"/>
        <v>0.05575448144</v>
      </c>
      <c r="P70" s="310">
        <f>IFERROR(__xludf.DUMMYFUNCTION("GOOGLEFINANCE(""BVMF:FESA4"")"),7.41)</f>
        <v>7.41</v>
      </c>
      <c r="Q70" s="237">
        <f t="shared" si="7"/>
        <v>5.47206235</v>
      </c>
      <c r="R70" s="238">
        <f t="shared" si="8"/>
        <v>-0.3541512368</v>
      </c>
      <c r="S70" s="243" t="s">
        <v>36</v>
      </c>
      <c r="T70" s="311" t="s">
        <v>156</v>
      </c>
      <c r="U70" s="240">
        <v>46091.0</v>
      </c>
    </row>
    <row r="71" ht="15.75" customHeight="1">
      <c r="A71" s="61" t="s">
        <v>70</v>
      </c>
      <c r="B71" s="62" t="s">
        <v>71</v>
      </c>
      <c r="C71" s="63" t="s">
        <v>25</v>
      </c>
      <c r="D71" s="64">
        <v>1.248296E9</v>
      </c>
      <c r="E71" s="44">
        <f t="shared" si="1"/>
        <v>23854936560</v>
      </c>
      <c r="F71" s="45">
        <v>8.6E9</v>
      </c>
      <c r="G71" s="46">
        <f t="shared" si="2"/>
        <v>2.773829833</v>
      </c>
      <c r="H71" s="65">
        <v>9.6</v>
      </c>
      <c r="I71" s="48">
        <f t="shared" si="3"/>
        <v>-0.7110593924</v>
      </c>
      <c r="J71" s="110">
        <v>0.1046</v>
      </c>
      <c r="K71" s="50">
        <v>3.7</v>
      </c>
      <c r="L71" s="51">
        <f t="shared" si="4"/>
        <v>6.889391619</v>
      </c>
      <c r="M71" s="67">
        <v>0.15</v>
      </c>
      <c r="N71" s="51">
        <f t="shared" si="9"/>
        <v>1.033408743</v>
      </c>
      <c r="O71" s="53">
        <f t="shared" si="6"/>
        <v>0.05407685729</v>
      </c>
      <c r="P71" s="176">
        <f>IFERROR(__xludf.DUMMYFUNCTION("GOOGLEFINANCE(""BVMF:KLBN11"")"),19.11)</f>
        <v>19.11</v>
      </c>
      <c r="Q71" s="55">
        <f t="shared" si="7"/>
        <v>13.68753302</v>
      </c>
      <c r="R71" s="56">
        <f t="shared" si="8"/>
        <v>-0.3961610157</v>
      </c>
      <c r="S71" s="80" t="s">
        <v>31</v>
      </c>
      <c r="T71" s="181" t="s">
        <v>72</v>
      </c>
      <c r="U71" s="58">
        <v>46091.0</v>
      </c>
    </row>
    <row r="72" ht="15.75" customHeight="1">
      <c r="A72" s="241" t="s">
        <v>70</v>
      </c>
      <c r="B72" s="242" t="s">
        <v>77</v>
      </c>
      <c r="C72" s="270" t="s">
        <v>25</v>
      </c>
      <c r="D72" s="225">
        <v>6.24148E9</v>
      </c>
      <c r="E72" s="226">
        <f t="shared" si="1"/>
        <v>23904868400</v>
      </c>
      <c r="F72" s="227">
        <v>8.6E9</v>
      </c>
      <c r="G72" s="228">
        <f t="shared" si="2"/>
        <v>2.77963586</v>
      </c>
      <c r="H72" s="244">
        <v>9.6</v>
      </c>
      <c r="I72" s="230">
        <f t="shared" si="3"/>
        <v>-0.7104545979</v>
      </c>
      <c r="J72" s="292">
        <v>0.1046</v>
      </c>
      <c r="K72" s="253">
        <v>3.7</v>
      </c>
      <c r="L72" s="233">
        <f t="shared" si="4"/>
        <v>1.377878324</v>
      </c>
      <c r="M72" s="246">
        <v>0.15</v>
      </c>
      <c r="N72" s="233">
        <f t="shared" si="9"/>
        <v>0.2066817486</v>
      </c>
      <c r="O72" s="235">
        <f t="shared" si="6"/>
        <v>0.05396390302</v>
      </c>
      <c r="P72" s="310">
        <f>IFERROR(__xludf.DUMMYFUNCTION("GOOGLEFINANCE(""BVMF:KLBN4"")"),3.83)</f>
        <v>3.83</v>
      </c>
      <c r="Q72" s="237">
        <f t="shared" si="7"/>
        <v>2.737506603</v>
      </c>
      <c r="R72" s="238">
        <f t="shared" si="8"/>
        <v>-0.3990833831</v>
      </c>
      <c r="S72" s="243" t="s">
        <v>31</v>
      </c>
      <c r="T72" s="311" t="s">
        <v>72</v>
      </c>
      <c r="U72" s="240">
        <v>46091.0</v>
      </c>
    </row>
    <row r="73" ht="15.75" customHeight="1">
      <c r="A73" s="61" t="s">
        <v>70</v>
      </c>
      <c r="B73" s="62" t="s">
        <v>78</v>
      </c>
      <c r="C73" s="63" t="s">
        <v>25</v>
      </c>
      <c r="D73" s="64">
        <v>6.24148E9</v>
      </c>
      <c r="E73" s="44">
        <f t="shared" si="1"/>
        <v>23967283200</v>
      </c>
      <c r="F73" s="45">
        <v>8.6E9</v>
      </c>
      <c r="G73" s="46">
        <f t="shared" si="2"/>
        <v>2.786893395</v>
      </c>
      <c r="H73" s="65">
        <v>9.6</v>
      </c>
      <c r="I73" s="48">
        <f t="shared" si="3"/>
        <v>-0.7096986047</v>
      </c>
      <c r="J73" s="110">
        <v>0.1046</v>
      </c>
      <c r="K73" s="50">
        <v>3.7</v>
      </c>
      <c r="L73" s="51">
        <f t="shared" si="4"/>
        <v>1.377878324</v>
      </c>
      <c r="M73" s="67">
        <v>0.15</v>
      </c>
      <c r="N73" s="51">
        <f t="shared" si="9"/>
        <v>0.2066817486</v>
      </c>
      <c r="O73" s="53">
        <f t="shared" si="6"/>
        <v>0.05382337202</v>
      </c>
      <c r="P73" s="176">
        <f>IFERROR(__xludf.DUMMYFUNCTION("GOOGLEFINANCE(""BVMF:KLBN3"")"),3.84)</f>
        <v>3.84</v>
      </c>
      <c r="Q73" s="55">
        <f t="shared" si="7"/>
        <v>2.737506603</v>
      </c>
      <c r="R73" s="56">
        <f t="shared" si="8"/>
        <v>-0.4027363423</v>
      </c>
      <c r="S73" s="80" t="s">
        <v>31</v>
      </c>
      <c r="T73" s="181" t="s">
        <v>72</v>
      </c>
      <c r="U73" s="58">
        <v>46091.0</v>
      </c>
    </row>
    <row r="74" ht="15.75" customHeight="1">
      <c r="A74" s="241" t="s">
        <v>215</v>
      </c>
      <c r="B74" s="242" t="s">
        <v>216</v>
      </c>
      <c r="C74" s="270" t="s">
        <v>217</v>
      </c>
      <c r="D74" s="225">
        <v>3.56964439E8</v>
      </c>
      <c r="E74" s="226">
        <f t="shared" si="1"/>
        <v>1874063305</v>
      </c>
      <c r="F74" s="227">
        <v>2.0E8</v>
      </c>
      <c r="G74" s="228">
        <f t="shared" si="2"/>
        <v>9.370316524</v>
      </c>
      <c r="H74" s="258">
        <v>9.2</v>
      </c>
      <c r="I74" s="230">
        <f t="shared" si="3"/>
        <v>0.01851266563</v>
      </c>
      <c r="J74" s="292">
        <v>0.139</v>
      </c>
      <c r="K74" s="232">
        <v>0.12</v>
      </c>
      <c r="L74" s="233">
        <f t="shared" si="4"/>
        <v>0.5602798995</v>
      </c>
      <c r="M74" s="281">
        <v>0.5</v>
      </c>
      <c r="N74" s="233">
        <f t="shared" si="9"/>
        <v>0.2801399497</v>
      </c>
      <c r="O74" s="235">
        <f t="shared" si="6"/>
        <v>0.05335999043</v>
      </c>
      <c r="P74" s="310">
        <f>IFERROR(__xludf.DUMMYFUNCTION("GOOGLEFINANCE(""BVMF:SHUL4"")"),5.25)</f>
        <v>5.25</v>
      </c>
      <c r="Q74" s="237">
        <f t="shared" si="7"/>
        <v>3.71046291</v>
      </c>
      <c r="R74" s="238">
        <f t="shared" si="8"/>
        <v>-0.4149177951</v>
      </c>
      <c r="S74" s="243" t="s">
        <v>31</v>
      </c>
      <c r="T74" s="311" t="s">
        <v>218</v>
      </c>
      <c r="U74" s="240">
        <v>46091.0</v>
      </c>
    </row>
    <row r="75" ht="15.75" customHeight="1">
      <c r="A75" s="61" t="s">
        <v>243</v>
      </c>
      <c r="B75" s="62" t="s">
        <v>244</v>
      </c>
      <c r="C75" s="63" t="s">
        <v>115</v>
      </c>
      <c r="D75" s="129">
        <v>3.8572E7</v>
      </c>
      <c r="E75" s="44">
        <f t="shared" si="1"/>
        <v>5583682720</v>
      </c>
      <c r="F75" s="45">
        <v>8.5E8</v>
      </c>
      <c r="G75" s="46">
        <f t="shared" si="2"/>
        <v>6.569038494</v>
      </c>
      <c r="H75" s="65">
        <v>5.6</v>
      </c>
      <c r="I75" s="48">
        <f t="shared" si="3"/>
        <v>0.1730425882</v>
      </c>
      <c r="J75" s="66">
        <v>0.073</v>
      </c>
      <c r="K75" s="50">
        <v>2.2</v>
      </c>
      <c r="L75" s="51">
        <f t="shared" si="4"/>
        <v>22.03671057</v>
      </c>
      <c r="M75" s="83">
        <v>0.35</v>
      </c>
      <c r="N75" s="51">
        <f t="shared" si="9"/>
        <v>7.712848699</v>
      </c>
      <c r="O75" s="53">
        <f t="shared" si="6"/>
        <v>0.05328024799</v>
      </c>
      <c r="P75" s="176">
        <f>IFERROR(__xludf.DUMMYFUNCTION("GOOGLEFINANCE(""BVMF:CLSC4"")"),144.76)</f>
        <v>144.76</v>
      </c>
      <c r="Q75" s="55">
        <f t="shared" si="7"/>
        <v>102.1569364</v>
      </c>
      <c r="R75" s="56">
        <f t="shared" si="8"/>
        <v>-0.4170354466</v>
      </c>
      <c r="S75" s="80" t="s">
        <v>26</v>
      </c>
      <c r="T75" s="181" t="s">
        <v>108</v>
      </c>
      <c r="U75" s="58">
        <v>46091.0</v>
      </c>
    </row>
    <row r="76" ht="15.75" customHeight="1">
      <c r="A76" s="241" t="s">
        <v>266</v>
      </c>
      <c r="B76" s="242" t="s">
        <v>267</v>
      </c>
      <c r="C76" s="270" t="s">
        <v>107</v>
      </c>
      <c r="D76" s="257">
        <v>3.240086216E9</v>
      </c>
      <c r="E76" s="226">
        <f t="shared" si="1"/>
        <v>131677103818</v>
      </c>
      <c r="F76" s="227">
        <v>7.0E9</v>
      </c>
      <c r="G76" s="228">
        <f t="shared" si="2"/>
        <v>18.81101483</v>
      </c>
      <c r="H76" s="244">
        <v>15.5</v>
      </c>
      <c r="I76" s="230">
        <f t="shared" si="3"/>
        <v>0.2136138601</v>
      </c>
      <c r="J76" s="245">
        <v>0.041</v>
      </c>
      <c r="K76" s="253">
        <v>0.4</v>
      </c>
      <c r="L76" s="233">
        <f t="shared" si="4"/>
        <v>2.160436338</v>
      </c>
      <c r="M76" s="281">
        <v>1.0</v>
      </c>
      <c r="N76" s="233">
        <f t="shared" si="9"/>
        <v>2.160436338</v>
      </c>
      <c r="O76" s="235">
        <f t="shared" si="6"/>
        <v>0.05316034297</v>
      </c>
      <c r="P76" s="310">
        <f>IFERROR(__xludf.DUMMYFUNCTION("GOOGLEFINANCE(""BVMF:VIVT3"")"),40.64)</f>
        <v>40.64</v>
      </c>
      <c r="Q76" s="237">
        <f t="shared" si="7"/>
        <v>28.61505084</v>
      </c>
      <c r="R76" s="238">
        <f t="shared" si="8"/>
        <v>-0.4202316198</v>
      </c>
      <c r="S76" s="243" t="s">
        <v>268</v>
      </c>
      <c r="T76" s="311" t="s">
        <v>269</v>
      </c>
      <c r="U76" s="240">
        <v>46091.0</v>
      </c>
    </row>
    <row r="77" ht="15.75" customHeight="1">
      <c r="A77" s="61" t="s">
        <v>179</v>
      </c>
      <c r="B77" s="62" t="s">
        <v>180</v>
      </c>
      <c r="C77" s="63" t="s">
        <v>49</v>
      </c>
      <c r="D77" s="64">
        <v>5.708696148E9</v>
      </c>
      <c r="E77" s="44">
        <f t="shared" si="1"/>
        <v>135924055284</v>
      </c>
      <c r="F77" s="45">
        <v>2.4E10</v>
      </c>
      <c r="G77" s="46">
        <f t="shared" si="2"/>
        <v>5.663502303</v>
      </c>
      <c r="H77" s="65">
        <v>6.4</v>
      </c>
      <c r="I77" s="48">
        <f t="shared" si="3"/>
        <v>-0.1150777651</v>
      </c>
      <c r="J77" s="66">
        <v>0.132</v>
      </c>
      <c r="K77" s="82">
        <v>0.0</v>
      </c>
      <c r="L77" s="51">
        <f t="shared" si="4"/>
        <v>4.204112354</v>
      </c>
      <c r="M77" s="167">
        <v>0.3</v>
      </c>
      <c r="N77" s="51">
        <f t="shared" si="9"/>
        <v>1.261233706</v>
      </c>
      <c r="O77" s="53">
        <f t="shared" si="6"/>
        <v>0.05297075624</v>
      </c>
      <c r="P77" s="176">
        <f>IFERROR(__xludf.DUMMYFUNCTION("GOOGLEFINANCE(""BVMF:BBAS3"")"),23.81)</f>
        <v>23.81</v>
      </c>
      <c r="Q77" s="55">
        <f t="shared" si="7"/>
        <v>16.7050822</v>
      </c>
      <c r="R77" s="56">
        <f t="shared" si="8"/>
        <v>-0.4253147464</v>
      </c>
      <c r="S77" s="80" t="s">
        <v>134</v>
      </c>
      <c r="T77" s="312" t="s">
        <v>162</v>
      </c>
      <c r="U77" s="58">
        <v>46091.0</v>
      </c>
    </row>
    <row r="78" ht="15.75" customHeight="1">
      <c r="A78" s="222" t="s">
        <v>55</v>
      </c>
      <c r="B78" s="223" t="s">
        <v>56</v>
      </c>
      <c r="C78" s="313" t="s">
        <v>57</v>
      </c>
      <c r="D78" s="314">
        <v>4.88678545E8</v>
      </c>
      <c r="E78" s="226">
        <f t="shared" si="1"/>
        <v>14621262066</v>
      </c>
      <c r="F78" s="227">
        <v>1.5E9</v>
      </c>
      <c r="G78" s="228">
        <f t="shared" si="2"/>
        <v>9.747508044</v>
      </c>
      <c r="H78" s="229">
        <v>16.0</v>
      </c>
      <c r="I78" s="230">
        <f t="shared" si="3"/>
        <v>-0.3907807472</v>
      </c>
      <c r="J78" s="231">
        <v>0.018</v>
      </c>
      <c r="K78" s="232">
        <v>2.28</v>
      </c>
      <c r="L78" s="233">
        <f t="shared" si="4"/>
        <v>3.069502468</v>
      </c>
      <c r="M78" s="234">
        <v>0.5</v>
      </c>
      <c r="N78" s="233">
        <f t="shared" si="9"/>
        <v>1.534751234</v>
      </c>
      <c r="O78" s="235">
        <f t="shared" si="6"/>
        <v>0.05129516157</v>
      </c>
      <c r="P78" s="315">
        <f>IFERROR(__xludf.DUMMYFUNCTION("GOOGLEFINANCE(""BVMF:MULT3"")"),29.92)</f>
        <v>29.92</v>
      </c>
      <c r="Q78" s="237">
        <f t="shared" si="7"/>
        <v>20.32783091</v>
      </c>
      <c r="R78" s="238">
        <f t="shared" si="8"/>
        <v>-0.4718737147</v>
      </c>
      <c r="S78" s="224" t="s">
        <v>36</v>
      </c>
      <c r="T78" s="316" t="s">
        <v>58</v>
      </c>
      <c r="U78" s="240">
        <v>46091.0</v>
      </c>
    </row>
    <row r="79" ht="15.75" customHeight="1">
      <c r="A79" s="61" t="s">
        <v>186</v>
      </c>
      <c r="B79" s="62" t="s">
        <v>187</v>
      </c>
      <c r="C79" s="63" t="s">
        <v>188</v>
      </c>
      <c r="D79" s="129">
        <v>1.511205519E9</v>
      </c>
      <c r="E79" s="44">
        <f t="shared" si="1"/>
        <v>11681618662</v>
      </c>
      <c r="F79" s="45">
        <v>1.7E9</v>
      </c>
      <c r="G79" s="46">
        <f t="shared" si="2"/>
        <v>6.871540389</v>
      </c>
      <c r="H79" s="65">
        <v>7.0</v>
      </c>
      <c r="I79" s="48">
        <f t="shared" si="3"/>
        <v>-0.01835137295</v>
      </c>
      <c r="J79" s="66">
        <v>0.178</v>
      </c>
      <c r="K79" s="50">
        <v>1.7</v>
      </c>
      <c r="L79" s="51">
        <f t="shared" si="4"/>
        <v>1.124929719</v>
      </c>
      <c r="M79" s="83">
        <v>0.35</v>
      </c>
      <c r="N79" s="51">
        <f t="shared" si="9"/>
        <v>0.3937254017</v>
      </c>
      <c r="O79" s="53">
        <f t="shared" si="6"/>
        <v>0.05093472208</v>
      </c>
      <c r="P79" s="176">
        <f>IFERROR(__xludf.DUMMYFUNCTION("GOOGLEFINANCE(""BVMF:SAPR4"")"),7.73)</f>
        <v>7.73</v>
      </c>
      <c r="Q79" s="55">
        <f t="shared" si="7"/>
        <v>5.214905983</v>
      </c>
      <c r="R79" s="56">
        <f t="shared" si="8"/>
        <v>-0.4822894268</v>
      </c>
      <c r="S79" s="80" t="s">
        <v>75</v>
      </c>
      <c r="T79" s="181" t="s">
        <v>189</v>
      </c>
      <c r="U79" s="58">
        <v>46091.0</v>
      </c>
    </row>
    <row r="80" ht="15.75" customHeight="1">
      <c r="A80" s="248" t="s">
        <v>113</v>
      </c>
      <c r="B80" s="249" t="s">
        <v>114</v>
      </c>
      <c r="C80" s="250" t="s">
        <v>115</v>
      </c>
      <c r="D80" s="251">
        <v>3.6947E7</v>
      </c>
      <c r="E80" s="226">
        <f t="shared" si="1"/>
        <v>1644141500</v>
      </c>
      <c r="F80" s="227">
        <v>2.0E8</v>
      </c>
      <c r="G80" s="228">
        <f t="shared" si="2"/>
        <v>8.2207075</v>
      </c>
      <c r="H80" s="252">
        <v>14.6</v>
      </c>
      <c r="I80" s="230">
        <f t="shared" si="3"/>
        <v>-0.4369378425</v>
      </c>
      <c r="J80" s="231">
        <v>0.0</v>
      </c>
      <c r="K80" s="253">
        <v>-12.04</v>
      </c>
      <c r="L80" s="233">
        <f t="shared" si="4"/>
        <v>5.41315939</v>
      </c>
      <c r="M80" s="234">
        <v>0.4</v>
      </c>
      <c r="N80" s="233">
        <f t="shared" si="9"/>
        <v>2.165263756</v>
      </c>
      <c r="O80" s="235">
        <f t="shared" si="6"/>
        <v>0.0486576125</v>
      </c>
      <c r="P80" s="315">
        <f>IFERROR(__xludf.DUMMYFUNCTION("GOOGLEFINANCE(""BVMF:EMAE4"")"),44.5)</f>
        <v>44.5</v>
      </c>
      <c r="Q80" s="237">
        <f t="shared" si="7"/>
        <v>28.67899015</v>
      </c>
      <c r="R80" s="238">
        <f t="shared" si="8"/>
        <v>-0.5516585406</v>
      </c>
      <c r="S80" s="254" t="s">
        <v>111</v>
      </c>
      <c r="T80" s="255" t="s">
        <v>112</v>
      </c>
      <c r="U80" s="240">
        <v>46091.0</v>
      </c>
    </row>
    <row r="81" ht="15.75" customHeight="1">
      <c r="A81" s="61" t="s">
        <v>263</v>
      </c>
      <c r="B81" s="62" t="s">
        <v>264</v>
      </c>
      <c r="C81" s="63" t="s">
        <v>115</v>
      </c>
      <c r="D81" s="64">
        <v>1.142298836E9</v>
      </c>
      <c r="E81" s="44">
        <f t="shared" si="1"/>
        <v>36039528276</v>
      </c>
      <c r="F81" s="45">
        <v>3.1E9</v>
      </c>
      <c r="G81" s="46">
        <f t="shared" si="2"/>
        <v>11.62565428</v>
      </c>
      <c r="H81" s="65">
        <v>13.8</v>
      </c>
      <c r="I81" s="48">
        <f t="shared" si="3"/>
        <v>-0.1575612839</v>
      </c>
      <c r="J81" s="66">
        <v>0.0235</v>
      </c>
      <c r="K81" s="50">
        <v>2.9</v>
      </c>
      <c r="L81" s="51">
        <f t="shared" si="4"/>
        <v>2.713825754</v>
      </c>
      <c r="M81" s="67">
        <v>0.55</v>
      </c>
      <c r="N81" s="51">
        <f t="shared" si="9"/>
        <v>1.492604165</v>
      </c>
      <c r="O81" s="53">
        <f t="shared" si="6"/>
        <v>0.04730916529</v>
      </c>
      <c r="P81" s="111">
        <f>IFERROR(__xludf.DUMMYFUNCTION("GOOGLEFINANCE(""BVMF:EGIE3"")"),31.55)</f>
        <v>31.55</v>
      </c>
      <c r="Q81" s="55">
        <f t="shared" si="7"/>
        <v>19.76959159</v>
      </c>
      <c r="R81" s="56">
        <f t="shared" si="8"/>
        <v>-0.5958852697</v>
      </c>
      <c r="S81" s="80" t="s">
        <v>36</v>
      </c>
      <c r="T81" s="80" t="s">
        <v>265</v>
      </c>
      <c r="U81" s="58">
        <v>46091.0</v>
      </c>
    </row>
    <row r="82" ht="15.75" customHeight="1">
      <c r="A82" s="241" t="s">
        <v>184</v>
      </c>
      <c r="B82" s="242" t="s">
        <v>185</v>
      </c>
      <c r="C82" s="270" t="s">
        <v>53</v>
      </c>
      <c r="D82" s="225">
        <v>4.96621582E8</v>
      </c>
      <c r="E82" s="226">
        <f t="shared" si="1"/>
        <v>8939188476</v>
      </c>
      <c r="F82" s="227">
        <v>8.4E8</v>
      </c>
      <c r="G82" s="228">
        <f t="shared" si="2"/>
        <v>10.64189104</v>
      </c>
      <c r="H82" s="244">
        <v>10.8</v>
      </c>
      <c r="I82" s="230">
        <f t="shared" si="3"/>
        <v>-0.01463971825</v>
      </c>
      <c r="J82" s="245">
        <v>0.084</v>
      </c>
      <c r="K82" s="232">
        <v>2.3</v>
      </c>
      <c r="L82" s="233">
        <f t="shared" si="4"/>
        <v>1.691428706</v>
      </c>
      <c r="M82" s="281">
        <v>0.5</v>
      </c>
      <c r="N82" s="233">
        <f t="shared" si="9"/>
        <v>0.8457143532</v>
      </c>
      <c r="O82" s="235">
        <f t="shared" si="6"/>
        <v>0.04698413073</v>
      </c>
      <c r="P82" s="317">
        <f>IFERROR(__xludf.DUMMYFUNCTION("GOOGLEFINANCE(""BVMF:SLCE3"")"),18.0)</f>
        <v>18</v>
      </c>
      <c r="Q82" s="237">
        <f t="shared" si="7"/>
        <v>11.20151461</v>
      </c>
      <c r="R82" s="238">
        <f t="shared" si="8"/>
        <v>-0.6069255475</v>
      </c>
      <c r="S82" s="243" t="s">
        <v>75</v>
      </c>
      <c r="T82" s="311" t="s">
        <v>96</v>
      </c>
      <c r="U82" s="240">
        <v>46091.0</v>
      </c>
    </row>
    <row r="83" ht="15.75" customHeight="1">
      <c r="A83" s="61" t="s">
        <v>228</v>
      </c>
      <c r="B83" s="62" t="s">
        <v>229</v>
      </c>
      <c r="C83" s="63" t="s">
        <v>107</v>
      </c>
      <c r="D83" s="64">
        <v>3.99087E8</v>
      </c>
      <c r="E83" s="44">
        <f t="shared" si="1"/>
        <v>2139106320</v>
      </c>
      <c r="F83" s="45">
        <v>2.0E8</v>
      </c>
      <c r="G83" s="46">
        <f t="shared" si="2"/>
        <v>10.6955316</v>
      </c>
      <c r="H83" s="65">
        <v>9.7</v>
      </c>
      <c r="I83" s="48">
        <f t="shared" si="3"/>
        <v>0.1026321237</v>
      </c>
      <c r="J83" s="66">
        <v>0.2</v>
      </c>
      <c r="K83" s="82">
        <v>0.84</v>
      </c>
      <c r="L83" s="51">
        <f t="shared" si="4"/>
        <v>0.5011438609</v>
      </c>
      <c r="M83" s="83">
        <v>0.5</v>
      </c>
      <c r="N83" s="51">
        <f t="shared" si="9"/>
        <v>0.2505719304</v>
      </c>
      <c r="O83" s="53">
        <f t="shared" si="6"/>
        <v>0.04674849448</v>
      </c>
      <c r="P83" s="191">
        <f>IFERROR(__xludf.DUMMYFUNCTION("GOOGLEFINANCE(""BVMF:FIQE3"")"),5.36)</f>
        <v>5.36</v>
      </c>
      <c r="Q83" s="55">
        <f t="shared" si="7"/>
        <v>3.318833516</v>
      </c>
      <c r="R83" s="56">
        <f t="shared" si="8"/>
        <v>-0.6150252716</v>
      </c>
      <c r="S83" s="80" t="s">
        <v>36</v>
      </c>
      <c r="T83" s="182" t="s">
        <v>230</v>
      </c>
      <c r="U83" s="58">
        <v>46091.0</v>
      </c>
    </row>
    <row r="84" ht="15.75" customHeight="1">
      <c r="A84" s="248" t="s">
        <v>273</v>
      </c>
      <c r="B84" s="249" t="s">
        <v>274</v>
      </c>
      <c r="C84" s="250" t="s">
        <v>115</v>
      </c>
      <c r="D84" s="251">
        <v>2.517311233E9</v>
      </c>
      <c r="E84" s="226">
        <f t="shared" si="1"/>
        <v>25072419881</v>
      </c>
      <c r="F84" s="227">
        <v>2.3E9</v>
      </c>
      <c r="G84" s="228">
        <f t="shared" si="2"/>
        <v>10.90105212</v>
      </c>
      <c r="H84" s="252">
        <v>9.2</v>
      </c>
      <c r="I84" s="230">
        <f t="shared" si="3"/>
        <v>0.1848969698</v>
      </c>
      <c r="J84" s="231">
        <v>0.069</v>
      </c>
      <c r="K84" s="253">
        <v>3.6</v>
      </c>
      <c r="L84" s="233">
        <f t="shared" si="4"/>
        <v>0.9136732756</v>
      </c>
      <c r="M84" s="234">
        <v>0.5</v>
      </c>
      <c r="N84" s="233">
        <f t="shared" si="9"/>
        <v>0.4568366378</v>
      </c>
      <c r="O84" s="235">
        <f t="shared" si="6"/>
        <v>0.04586713231</v>
      </c>
      <c r="P84" s="318">
        <f>IFERROR(__xludf.DUMMYFUNCTION("GOOGLEFINANCE(""BVMF:ENGI4"")"),9.96)</f>
        <v>9.96</v>
      </c>
      <c r="Q84" s="237">
        <f t="shared" si="7"/>
        <v>6.050816395</v>
      </c>
      <c r="R84" s="238">
        <f t="shared" si="8"/>
        <v>-0.6460588704</v>
      </c>
      <c r="S84" s="254" t="s">
        <v>36</v>
      </c>
      <c r="T84" s="269" t="s">
        <v>275</v>
      </c>
      <c r="U84" s="240">
        <v>46091.0</v>
      </c>
    </row>
    <row r="85" ht="15.75" customHeight="1">
      <c r="A85" s="40" t="s">
        <v>148</v>
      </c>
      <c r="B85" s="41" t="s">
        <v>149</v>
      </c>
      <c r="C85" s="106" t="s">
        <v>25</v>
      </c>
      <c r="D85" s="43">
        <v>1.235911173E9</v>
      </c>
      <c r="E85" s="44">
        <f t="shared" si="1"/>
        <v>65997656638</v>
      </c>
      <c r="F85" s="45">
        <v>1.0E10</v>
      </c>
      <c r="G85" s="46">
        <f t="shared" si="2"/>
        <v>6.599765664</v>
      </c>
      <c r="H85" s="47">
        <v>12.66</v>
      </c>
      <c r="I85" s="48">
        <f t="shared" si="3"/>
        <v>-0.4786914957</v>
      </c>
      <c r="J85" s="49">
        <v>0.1094</v>
      </c>
      <c r="K85" s="50">
        <v>3.3</v>
      </c>
      <c r="L85" s="51">
        <f t="shared" si="4"/>
        <v>8.091196373</v>
      </c>
      <c r="M85" s="52">
        <v>0.3</v>
      </c>
      <c r="N85" s="51">
        <f t="shared" si="9"/>
        <v>2.427358912</v>
      </c>
      <c r="O85" s="53">
        <f t="shared" si="6"/>
        <v>0.0454561594</v>
      </c>
      <c r="P85" s="319">
        <f>IFERROR(__xludf.DUMMYFUNCTION("GOOGLEFINANCE(""BVMF:SUZB3"")"),53.4)</f>
        <v>53.4</v>
      </c>
      <c r="Q85" s="55">
        <f t="shared" si="7"/>
        <v>32.15044916</v>
      </c>
      <c r="R85" s="56">
        <f t="shared" si="8"/>
        <v>-0.6609410254</v>
      </c>
      <c r="S85" s="42" t="s">
        <v>75</v>
      </c>
      <c r="T85" s="320" t="s">
        <v>150</v>
      </c>
      <c r="U85" s="58">
        <v>46091.0</v>
      </c>
    </row>
    <row r="86" ht="15.75" customHeight="1">
      <c r="A86" s="284" t="s">
        <v>186</v>
      </c>
      <c r="B86" s="285" t="s">
        <v>194</v>
      </c>
      <c r="C86" s="286" t="s">
        <v>188</v>
      </c>
      <c r="D86" s="287">
        <f>1511205519/5</f>
        <v>302241103.8</v>
      </c>
      <c r="E86" s="226">
        <f t="shared" si="1"/>
        <v>11929456367</v>
      </c>
      <c r="F86" s="227">
        <v>1.7E9</v>
      </c>
      <c r="G86" s="228">
        <f t="shared" si="2"/>
        <v>7.017327275</v>
      </c>
      <c r="H86" s="244">
        <v>7.0</v>
      </c>
      <c r="I86" s="230">
        <f t="shared" si="3"/>
        <v>0.002475324957</v>
      </c>
      <c r="J86" s="245">
        <v>0.178</v>
      </c>
      <c r="K86" s="253">
        <v>1.7</v>
      </c>
      <c r="L86" s="233">
        <f t="shared" si="4"/>
        <v>5.624648596</v>
      </c>
      <c r="M86" s="321">
        <v>0.3</v>
      </c>
      <c r="N86" s="290">
        <f t="shared" si="9"/>
        <v>1.687394579</v>
      </c>
      <c r="O86" s="322">
        <f t="shared" si="6"/>
        <v>0.04275131945</v>
      </c>
      <c r="P86" s="323">
        <f>IFERROR(__xludf.DUMMYFUNCTION("GOOGLEFINANCE(""BVMF:SAPR11"")"),39.47)</f>
        <v>39.47</v>
      </c>
      <c r="Q86" s="237">
        <f t="shared" si="7"/>
        <v>22.34959707</v>
      </c>
      <c r="R86" s="238">
        <f t="shared" si="8"/>
        <v>-0.7660273641</v>
      </c>
      <c r="S86" s="280" t="s">
        <v>75</v>
      </c>
      <c r="T86" s="324" t="s">
        <v>189</v>
      </c>
      <c r="U86" s="240">
        <v>46091.0</v>
      </c>
    </row>
    <row r="87" ht="15.75" customHeight="1">
      <c r="A87" s="61" t="s">
        <v>79</v>
      </c>
      <c r="B87" s="325" t="s">
        <v>80</v>
      </c>
      <c r="C87" s="63" t="s">
        <v>49</v>
      </c>
      <c r="D87" s="64">
        <v>1.23728626E8</v>
      </c>
      <c r="E87" s="44">
        <f t="shared" si="1"/>
        <v>8751325717</v>
      </c>
      <c r="F87" s="45">
        <v>1.2E9</v>
      </c>
      <c r="G87" s="46">
        <f t="shared" si="2"/>
        <v>7.292771431</v>
      </c>
      <c r="H87" s="81">
        <v>6.2</v>
      </c>
      <c r="I87" s="48">
        <f t="shared" si="3"/>
        <v>0.1762534566</v>
      </c>
      <c r="J87" s="66">
        <v>0.301</v>
      </c>
      <c r="K87" s="82">
        <v>0.0</v>
      </c>
      <c r="L87" s="51">
        <f t="shared" si="4"/>
        <v>9.698644839</v>
      </c>
      <c r="M87" s="67">
        <v>0.3</v>
      </c>
      <c r="N87" s="51">
        <f t="shared" si="9"/>
        <v>2.909593452</v>
      </c>
      <c r="O87" s="53">
        <f t="shared" si="6"/>
        <v>0.04113662451</v>
      </c>
      <c r="P87" s="175">
        <f>IFERROR(__xludf.DUMMYFUNCTION("GOOGLEFINANCE(""BVMF:BMEB3"")"),70.73)</f>
        <v>70.73</v>
      </c>
      <c r="Q87" s="55">
        <f t="shared" si="7"/>
        <v>38.53766161</v>
      </c>
      <c r="R87" s="56">
        <f t="shared" si="8"/>
        <v>-0.8353474768</v>
      </c>
      <c r="S87" s="80" t="s">
        <v>75</v>
      </c>
      <c r="T87" s="80" t="s">
        <v>81</v>
      </c>
      <c r="U87" s="58">
        <v>46091.0</v>
      </c>
    </row>
    <row r="88" ht="15.75" customHeight="1">
      <c r="A88" s="241" t="s">
        <v>186</v>
      </c>
      <c r="B88" s="242" t="s">
        <v>250</v>
      </c>
      <c r="C88" s="270" t="s">
        <v>188</v>
      </c>
      <c r="D88" s="257">
        <v>1.511205519E9</v>
      </c>
      <c r="E88" s="226">
        <f t="shared" si="1"/>
        <v>13343944733</v>
      </c>
      <c r="F88" s="227">
        <v>1.7E9</v>
      </c>
      <c r="G88" s="228">
        <f t="shared" si="2"/>
        <v>7.849379255</v>
      </c>
      <c r="H88" s="244">
        <v>7.0</v>
      </c>
      <c r="I88" s="230">
        <f t="shared" si="3"/>
        <v>0.1213398935</v>
      </c>
      <c r="J88" s="245">
        <v>0.178</v>
      </c>
      <c r="K88" s="253">
        <v>1.7</v>
      </c>
      <c r="L88" s="233">
        <f t="shared" si="4"/>
        <v>1.124929719</v>
      </c>
      <c r="M88" s="281">
        <v>0.3185</v>
      </c>
      <c r="N88" s="233">
        <f t="shared" si="9"/>
        <v>0.3582901155</v>
      </c>
      <c r="O88" s="235">
        <f t="shared" si="6"/>
        <v>0.04057645703</v>
      </c>
      <c r="P88" s="317">
        <f>IFERROR(__xludf.DUMMYFUNCTION("GOOGLEFINANCE(""BVMF:SAPR3"")"),8.83)</f>
        <v>8.83</v>
      </c>
      <c r="Q88" s="237">
        <f t="shared" si="7"/>
        <v>4.745564444</v>
      </c>
      <c r="R88" s="238">
        <f t="shared" si="8"/>
        <v>-0.8606848782</v>
      </c>
      <c r="S88" s="243" t="s">
        <v>75</v>
      </c>
      <c r="T88" s="311" t="s">
        <v>189</v>
      </c>
      <c r="U88" s="240">
        <v>46091.0</v>
      </c>
    </row>
    <row r="89" ht="15.75" customHeight="1">
      <c r="A89" s="61" t="s">
        <v>276</v>
      </c>
      <c r="B89" s="62" t="s">
        <v>277</v>
      </c>
      <c r="C89" s="63" t="s">
        <v>174</v>
      </c>
      <c r="D89" s="129">
        <v>1.11451092E9</v>
      </c>
      <c r="E89" s="44">
        <f t="shared" si="1"/>
        <v>32755475939</v>
      </c>
      <c r="F89" s="45">
        <v>2.6E9</v>
      </c>
      <c r="G89" s="46">
        <f t="shared" si="2"/>
        <v>12.59825998</v>
      </c>
      <c r="H89" s="65">
        <v>9.0</v>
      </c>
      <c r="I89" s="48">
        <f t="shared" si="3"/>
        <v>0.3998066641</v>
      </c>
      <c r="J89" s="66">
        <v>0.075</v>
      </c>
      <c r="K89" s="82">
        <v>2.22</v>
      </c>
      <c r="L89" s="51">
        <f t="shared" si="4"/>
        <v>2.332861844</v>
      </c>
      <c r="M89" s="83">
        <v>0.5</v>
      </c>
      <c r="N89" s="51">
        <f t="shared" si="9"/>
        <v>1.166430922</v>
      </c>
      <c r="O89" s="53">
        <f t="shared" si="6"/>
        <v>0.03968802048</v>
      </c>
      <c r="P89" s="191">
        <f>IFERROR(__xludf.DUMMYFUNCTION("GOOGLEFINANCE(""BVMF:VBBR3"")"),29.39)</f>
        <v>29.39</v>
      </c>
      <c r="Q89" s="55">
        <f t="shared" si="7"/>
        <v>15.44941619</v>
      </c>
      <c r="R89" s="56">
        <f t="shared" si="8"/>
        <v>-0.9023372564</v>
      </c>
      <c r="S89" s="80" t="s">
        <v>36</v>
      </c>
      <c r="T89" s="182" t="s">
        <v>278</v>
      </c>
      <c r="U89" s="58">
        <v>46091.0</v>
      </c>
    </row>
    <row r="90" ht="15.75" customHeight="1">
      <c r="A90" s="241" t="s">
        <v>79</v>
      </c>
      <c r="B90" s="242" t="s">
        <v>104</v>
      </c>
      <c r="C90" s="270" t="s">
        <v>49</v>
      </c>
      <c r="D90" s="225">
        <v>1.23728626E8</v>
      </c>
      <c r="E90" s="226">
        <f t="shared" si="1"/>
        <v>9898290080</v>
      </c>
      <c r="F90" s="227">
        <v>1.2E9</v>
      </c>
      <c r="G90" s="228">
        <f t="shared" si="2"/>
        <v>8.248575067</v>
      </c>
      <c r="H90" s="258">
        <v>6.2</v>
      </c>
      <c r="I90" s="230">
        <f t="shared" si="3"/>
        <v>0.3304153333</v>
      </c>
      <c r="J90" s="245">
        <v>0.301</v>
      </c>
      <c r="K90" s="232">
        <v>0.0</v>
      </c>
      <c r="L90" s="233">
        <f t="shared" si="4"/>
        <v>9.698644839</v>
      </c>
      <c r="M90" s="246">
        <v>0.3</v>
      </c>
      <c r="N90" s="233">
        <f t="shared" si="9"/>
        <v>2.909593452</v>
      </c>
      <c r="O90" s="235">
        <f t="shared" si="6"/>
        <v>0.03636991815</v>
      </c>
      <c r="P90" s="317">
        <f>IFERROR(__xludf.DUMMYFUNCTION("GOOGLEFINANCE(""BVMF:BMEB4"")"),80.0)</f>
        <v>80</v>
      </c>
      <c r="Q90" s="237">
        <f t="shared" si="7"/>
        <v>38.53766161</v>
      </c>
      <c r="R90" s="238">
        <f t="shared" si="8"/>
        <v>-1.075891392</v>
      </c>
      <c r="S90" s="243" t="s">
        <v>75</v>
      </c>
      <c r="T90" s="311" t="s">
        <v>81</v>
      </c>
      <c r="U90" s="240">
        <v>46091.0</v>
      </c>
    </row>
    <row r="91" ht="15.75" customHeight="1">
      <c r="A91" s="61" t="s">
        <v>260</v>
      </c>
      <c r="B91" s="62" t="s">
        <v>261</v>
      </c>
      <c r="C91" s="63" t="s">
        <v>188</v>
      </c>
      <c r="D91" s="129">
        <v>3.79181E8</v>
      </c>
      <c r="E91" s="44">
        <f t="shared" si="1"/>
        <v>19743954670</v>
      </c>
      <c r="F91" s="45">
        <v>1.5E9</v>
      </c>
      <c r="G91" s="46">
        <f t="shared" si="2"/>
        <v>13.16263645</v>
      </c>
      <c r="H91" s="65">
        <v>9.1</v>
      </c>
      <c r="I91" s="48">
        <f t="shared" si="3"/>
        <v>0.4464435656</v>
      </c>
      <c r="J91" s="66">
        <v>0.107</v>
      </c>
      <c r="K91" s="50">
        <v>2.1</v>
      </c>
      <c r="L91" s="51">
        <f t="shared" si="4"/>
        <v>3.955894415</v>
      </c>
      <c r="M91" s="83">
        <v>0.42</v>
      </c>
      <c r="N91" s="51">
        <f t="shared" si="9"/>
        <v>1.661475654</v>
      </c>
      <c r="O91" s="53">
        <f t="shared" si="6"/>
        <v>0.03190850114</v>
      </c>
      <c r="P91" s="191">
        <f>IFERROR(__xludf.DUMMYFUNCTION("GOOGLEFINANCE(""BVMF:CSMG3"")"),52.07)</f>
        <v>52.07</v>
      </c>
      <c r="Q91" s="55">
        <f t="shared" si="7"/>
        <v>22.00630005</v>
      </c>
      <c r="R91" s="56">
        <f t="shared" si="8"/>
        <v>-1.366140599</v>
      </c>
      <c r="S91" s="80" t="s">
        <v>31</v>
      </c>
      <c r="T91" s="181" t="s">
        <v>262</v>
      </c>
      <c r="U91" s="58">
        <v>46091.0</v>
      </c>
    </row>
    <row r="92" ht="15.75" customHeight="1">
      <c r="A92" s="241" t="s">
        <v>195</v>
      </c>
      <c r="B92" s="242" t="s">
        <v>196</v>
      </c>
      <c r="C92" s="270" t="s">
        <v>53</v>
      </c>
      <c r="D92" s="257">
        <v>9.9615457E7</v>
      </c>
      <c r="E92" s="226">
        <f t="shared" si="1"/>
        <v>2221424691</v>
      </c>
      <c r="F92" s="227">
        <v>1.0E8</v>
      </c>
      <c r="G92" s="228">
        <f t="shared" si="2"/>
        <v>22.21424691</v>
      </c>
      <c r="H92" s="244">
        <v>11.0</v>
      </c>
      <c r="I92" s="230">
        <f t="shared" si="3"/>
        <v>1.019476992</v>
      </c>
      <c r="J92" s="245">
        <v>0.228</v>
      </c>
      <c r="K92" s="232">
        <v>1.7</v>
      </c>
      <c r="L92" s="233">
        <f t="shared" si="4"/>
        <v>1.003860274</v>
      </c>
      <c r="M92" s="281">
        <v>0.65</v>
      </c>
      <c r="N92" s="233">
        <f t="shared" si="9"/>
        <v>0.6525091784</v>
      </c>
      <c r="O92" s="235">
        <f t="shared" si="6"/>
        <v>0.02926050127</v>
      </c>
      <c r="P92" s="326">
        <f>IFERROR(__xludf.DUMMYFUNCTION("GOOGLEFINANCE(""BVMF:AGRO3"")"),22.3)</f>
        <v>22.3</v>
      </c>
      <c r="Q92" s="237">
        <f t="shared" si="7"/>
        <v>8.642505674</v>
      </c>
      <c r="R92" s="238">
        <f t="shared" si="8"/>
        <v>-1.580270218</v>
      </c>
      <c r="S92" s="243" t="s">
        <v>111</v>
      </c>
      <c r="T92" s="324" t="s">
        <v>197</v>
      </c>
      <c r="U92" s="240">
        <v>46091.0</v>
      </c>
    </row>
    <row r="93" ht="15.75" customHeight="1">
      <c r="A93" s="40" t="s">
        <v>136</v>
      </c>
      <c r="B93" s="41" t="s">
        <v>137</v>
      </c>
      <c r="C93" s="106" t="s">
        <v>49</v>
      </c>
      <c r="D93" s="43">
        <v>1.16426304E10</v>
      </c>
      <c r="E93" s="44">
        <f>D93*P93/3</f>
        <v>213875120448</v>
      </c>
      <c r="F93" s="45">
        <v>2.0E10</v>
      </c>
      <c r="G93" s="46">
        <f t="shared" si="2"/>
        <v>10.69375602</v>
      </c>
      <c r="H93" s="47">
        <v>17.4</v>
      </c>
      <c r="I93" s="48">
        <f t="shared" si="3"/>
        <v>-0.3854163206</v>
      </c>
      <c r="J93" s="49">
        <v>0.1966</v>
      </c>
      <c r="K93" s="82">
        <v>0.0</v>
      </c>
      <c r="L93" s="51">
        <f>F93*3/D93</f>
        <v>5.153474596</v>
      </c>
      <c r="M93" s="52">
        <v>0.28</v>
      </c>
      <c r="N93" s="51">
        <f t="shared" si="9"/>
        <v>1.442972887</v>
      </c>
      <c r="O93" s="53">
        <f t="shared" si="6"/>
        <v>0.02618350366</v>
      </c>
      <c r="P93" s="131">
        <f>IFERROR(__xludf.DUMMYFUNCTION("GOOGLEFINANCE(""BVMF:BPAC11"")"),55.11)</f>
        <v>55.11</v>
      </c>
      <c r="Q93" s="55">
        <f t="shared" si="7"/>
        <v>19.11222367</v>
      </c>
      <c r="R93" s="56">
        <f t="shared" si="8"/>
        <v>-1.883494927</v>
      </c>
      <c r="S93" s="42" t="s">
        <v>36</v>
      </c>
      <c r="T93" s="320" t="s">
        <v>138</v>
      </c>
      <c r="U93" s="58">
        <v>46091.0</v>
      </c>
    </row>
    <row r="94" ht="15.75" customHeight="1">
      <c r="A94" s="222"/>
      <c r="B94" s="223"/>
      <c r="C94" s="313"/>
      <c r="D94" s="314"/>
      <c r="E94" s="226"/>
      <c r="F94" s="226"/>
      <c r="G94" s="327"/>
      <c r="H94" s="229"/>
      <c r="I94" s="230"/>
      <c r="J94" s="328"/>
      <c r="K94" s="329"/>
      <c r="L94" s="330"/>
      <c r="M94" s="331"/>
      <c r="N94" s="233"/>
      <c r="O94" s="332"/>
      <c r="P94" s="330"/>
      <c r="Q94" s="330"/>
      <c r="R94" s="238"/>
      <c r="S94" s="224"/>
      <c r="T94" s="316"/>
      <c r="U94" s="333"/>
    </row>
    <row r="95" ht="15.75" customHeight="1">
      <c r="I95" s="212"/>
      <c r="J95" s="212"/>
    </row>
    <row r="96" ht="15.75" customHeight="1">
      <c r="I96" s="212"/>
      <c r="J96" s="212"/>
    </row>
    <row r="97" ht="15.75" customHeight="1">
      <c r="I97" s="212"/>
      <c r="J97" s="212"/>
    </row>
    <row r="98" ht="15.75" customHeight="1">
      <c r="A98" s="213"/>
      <c r="I98" s="212"/>
      <c r="J98" s="212"/>
    </row>
    <row r="99" ht="15.75" customHeight="1">
      <c r="I99" s="212"/>
      <c r="J99" s="212"/>
    </row>
    <row r="100" ht="15.75" customHeight="1">
      <c r="I100" s="212"/>
      <c r="J100" s="21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autoFilter ref="$A$3:$U$94">
    <sortState ref="A3:U94">
      <sortCondition descending="1" ref="R3:R94"/>
      <sortCondition descending="1" ref="O3:O94"/>
      <sortCondition descending="1" ref="Q3:Q94"/>
      <sortCondition ref="A3:A94"/>
      <sortCondition descending="1" ref="U3:U94"/>
      <sortCondition descending="1" ref="G3:G94"/>
      <sortCondition ref="E3:E94"/>
      <sortCondition ref="B3:B94"/>
    </sortState>
  </autoFilter>
  <conditionalFormatting sqref="K5 K8 K26 K87 K92:K93">
    <cfRule type="colorScale" priority="1">
      <colorScale>
        <cfvo type="min"/>
        <cfvo type="formula" val="2"/>
        <cfvo type="max"/>
        <color rgb="FF57BB8A"/>
        <color rgb="FFFFFFFF"/>
        <color rgb="FFE67C73"/>
      </colorScale>
    </cfRule>
  </conditionalFormatting>
  <conditionalFormatting sqref="A1:A2">
    <cfRule type="notContainsBlanks" dxfId="1" priority="2">
      <formula>LEN(TRIM(A1))&gt;0</formula>
    </cfRule>
  </conditionalFormatting>
  <conditionalFormatting sqref="I4:I95">
    <cfRule type="cellIs" dxfId="2" priority="3" operator="lessThanOrEqual">
      <formula>0</formula>
    </cfRule>
  </conditionalFormatting>
  <conditionalFormatting sqref="R4:R93 M5 M26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4:R9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4:O99 M8 M32 M87 M92:M93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4:I195">
    <cfRule type="cellIs" dxfId="3" priority="7" operator="greaterThanOrEqual">
      <formula>0</formula>
    </cfRule>
  </conditionalFormatting>
  <conditionalFormatting sqref="M4:M80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4:K86 K90">
    <cfRule type="colorScale" priority="9">
      <colorScale>
        <cfvo type="min"/>
        <cfvo type="formula" val="2"/>
        <cfvo type="max"/>
        <color rgb="FF57BB8A"/>
        <color rgb="FFFFFFFF"/>
        <color rgb="FFE67C73"/>
      </colorScale>
    </cfRule>
  </conditionalFormatting>
  <conditionalFormatting sqref="K4:K86 K90">
    <cfRule type="colorScale" priority="10">
      <colorScale>
        <cfvo type="min"/>
        <cfvo type="formula" val="2"/>
        <cfvo type="max"/>
        <color rgb="FF57BB8A"/>
        <color rgb="FFFFFFFF"/>
        <color rgb="FFE67C73"/>
      </colorScale>
    </cfRule>
  </conditionalFormatting>
  <conditionalFormatting sqref="K4:K86 K90">
    <cfRule type="colorScale" priority="11">
      <colorScale>
        <cfvo type="min"/>
        <cfvo type="formula" val="2"/>
        <cfvo type="max"/>
        <color rgb="FF57BB8A"/>
        <color rgb="FFFFFFFF"/>
        <color rgb="FFE67C73"/>
      </colorScale>
    </cfRule>
  </conditionalFormatting>
  <conditionalFormatting sqref="K4:K86 K90">
    <cfRule type="colorScale" priority="12">
      <colorScale>
        <cfvo type="min"/>
        <cfvo type="formula" val="2"/>
        <cfvo type="max"/>
        <color rgb="FF57BB8A"/>
        <color rgb="FFFFFFFF"/>
        <color rgb="FFE67C73"/>
      </colorScale>
    </cfRule>
  </conditionalFormatting>
  <hyperlinks>
    <hyperlink r:id="rId1" ref="B1"/>
  </hyperlinks>
  <printOptions/>
  <pageMargins bottom="0.787401575" footer="0.0" header="0.0" left="0.511811024" right="0.511811024" top="0.7874015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14.88"/>
    <col customWidth="1" min="3" max="3" width="22.75"/>
    <col customWidth="1" min="4" max="4" width="26.0"/>
    <col customWidth="1" min="5" max="5" width="14.13"/>
    <col customWidth="1" min="6" max="6" width="13.5"/>
    <col customWidth="1" min="7" max="7" width="4.5"/>
    <col customWidth="1" min="8" max="8" width="11.88"/>
    <col customWidth="1" min="9" max="10" width="29.0"/>
    <col customWidth="1" min="11" max="11" width="30.5"/>
  </cols>
  <sheetData>
    <row r="1" ht="15.75" customHeight="1">
      <c r="A1" s="334" t="s">
        <v>279</v>
      </c>
      <c r="B1" s="335" t="s">
        <v>1</v>
      </c>
      <c r="C1" s="336"/>
      <c r="D1" s="337"/>
      <c r="E1" s="338"/>
      <c r="F1" s="339"/>
      <c r="H1" s="340"/>
      <c r="I1" s="340"/>
      <c r="J1" s="341"/>
      <c r="K1" s="342"/>
    </row>
    <row r="2" ht="15.75" customHeight="1">
      <c r="A2" s="340"/>
      <c r="B2" s="341"/>
      <c r="C2" s="336"/>
      <c r="D2" s="337"/>
      <c r="E2" s="338"/>
      <c r="F2" s="339"/>
      <c r="H2" s="340"/>
      <c r="I2" s="340"/>
      <c r="J2" s="341"/>
      <c r="K2" s="342"/>
    </row>
    <row r="3" ht="15.75" customHeight="1">
      <c r="A3" s="343" t="s">
        <v>282</v>
      </c>
      <c r="B3" s="344" t="s">
        <v>283</v>
      </c>
      <c r="C3" s="345" t="s">
        <v>284</v>
      </c>
      <c r="D3" s="346" t="s">
        <v>285</v>
      </c>
      <c r="E3" s="338" t="s">
        <v>286</v>
      </c>
      <c r="F3" s="339" t="s">
        <v>287</v>
      </c>
      <c r="H3" s="343" t="s">
        <v>288</v>
      </c>
      <c r="I3" s="343" t="s">
        <v>289</v>
      </c>
      <c r="J3" s="344" t="s">
        <v>290</v>
      </c>
      <c r="K3" s="342" t="s">
        <v>291</v>
      </c>
    </row>
    <row r="4" ht="15.75" customHeight="1">
      <c r="A4" s="347" t="s">
        <v>240</v>
      </c>
      <c r="B4" s="348">
        <v>34000.0</v>
      </c>
      <c r="C4" s="349">
        <f>VLOOKUP(A4,Dados!B2:Q105,13,FALSE)</f>
        <v>2.158652646</v>
      </c>
      <c r="D4" s="350">
        <f t="shared" ref="D4:D14" si="1">B4*C4</f>
        <v>73394.18995</v>
      </c>
      <c r="E4" s="351">
        <f>VLOOKUP(A4,Dados!B2:R105,15,FALSE)*B4</f>
        <v>990760</v>
      </c>
      <c r="F4" s="352">
        <f t="shared" ref="F4:F14" si="2">D4/E4</f>
        <v>0.07407867693</v>
      </c>
      <c r="H4" s="348">
        <v>2026.0</v>
      </c>
      <c r="I4" s="353">
        <f>D22</f>
        <v>277237.2211</v>
      </c>
      <c r="J4" s="353">
        <f t="shared" ref="J4:J8" si="3">I4/12</f>
        <v>23103.10176</v>
      </c>
    </row>
    <row r="5" ht="15.75" customHeight="1">
      <c r="A5" s="347" t="s">
        <v>83</v>
      </c>
      <c r="B5" s="348">
        <v>13100.0</v>
      </c>
      <c r="C5" s="349">
        <f>VLOOKUP(A5,Dados!B2:Q105,13,FALSE)</f>
        <v>3.921255686</v>
      </c>
      <c r="D5" s="350">
        <f t="shared" si="1"/>
        <v>51368.44949</v>
      </c>
      <c r="E5" s="354">
        <f>VLOOKUP(A5,Dados!B2:R105,15,FALSE)*B5</f>
        <v>459155</v>
      </c>
      <c r="F5" s="352">
        <f t="shared" si="2"/>
        <v>0.1118760538</v>
      </c>
      <c r="H5" s="348">
        <v>2027.0</v>
      </c>
      <c r="I5" s="353">
        <f t="shared" ref="I5:I8" si="4">I4*(1+K5)</f>
        <v>346546.5264</v>
      </c>
      <c r="J5" s="353">
        <f t="shared" si="3"/>
        <v>28878.8772</v>
      </c>
      <c r="K5" s="355">
        <v>0.25</v>
      </c>
      <c r="L5" s="356"/>
    </row>
    <row r="6" ht="15.75" customHeight="1">
      <c r="A6" s="348" t="s">
        <v>114</v>
      </c>
      <c r="B6" s="348">
        <v>14700.0</v>
      </c>
      <c r="C6" s="349">
        <f>VLOOKUP(A6,Dados!B2:Q105,13,FALSE)</f>
        <v>2.165263756</v>
      </c>
      <c r="D6" s="350">
        <f t="shared" si="1"/>
        <v>31829.37722</v>
      </c>
      <c r="E6" s="354">
        <f>VLOOKUP(A6,Dados!B2:R105,15,FALSE)*B6</f>
        <v>654150</v>
      </c>
      <c r="F6" s="352">
        <f t="shared" si="2"/>
        <v>0.0486576125</v>
      </c>
      <c r="H6" s="348">
        <v>2028.0</v>
      </c>
      <c r="I6" s="353">
        <f t="shared" si="4"/>
        <v>415855.8316</v>
      </c>
      <c r="J6" s="353">
        <f t="shared" si="3"/>
        <v>34654.65264</v>
      </c>
      <c r="K6" s="355">
        <v>0.2</v>
      </c>
      <c r="L6" s="356"/>
    </row>
    <row r="7" ht="15.75" customHeight="1">
      <c r="A7" s="347" t="s">
        <v>180</v>
      </c>
      <c r="B7" s="348">
        <v>20000.0</v>
      </c>
      <c r="C7" s="349">
        <f>VLOOKUP(A7,Dados!B2:Q105,13,FALSE)</f>
        <v>1.261233706</v>
      </c>
      <c r="D7" s="350">
        <f t="shared" si="1"/>
        <v>25224.67412</v>
      </c>
      <c r="E7" s="354">
        <f>VLOOKUP(A7,Dados!B2:R105,15,FALSE)*B7</f>
        <v>476200</v>
      </c>
      <c r="F7" s="352">
        <f t="shared" si="2"/>
        <v>0.05297075624</v>
      </c>
      <c r="H7" s="348">
        <v>2029.0</v>
      </c>
      <c r="I7" s="353">
        <f t="shared" si="4"/>
        <v>478234.2064</v>
      </c>
      <c r="J7" s="353">
        <f t="shared" si="3"/>
        <v>39852.85053</v>
      </c>
      <c r="K7" s="355">
        <v>0.15</v>
      </c>
      <c r="L7" s="356"/>
    </row>
    <row r="8" ht="15.75" customHeight="1">
      <c r="A8" s="357" t="s">
        <v>127</v>
      </c>
      <c r="B8" s="348">
        <v>6900.0</v>
      </c>
      <c r="C8" s="349">
        <f>VLOOKUP(A8,Dados!B2:Q105,13,FALSE)</f>
        <v>3.021270631</v>
      </c>
      <c r="D8" s="350">
        <f t="shared" si="1"/>
        <v>20846.76735</v>
      </c>
      <c r="E8" s="354">
        <f>VLOOKUP(A8,Dados!B2:R105,15,FALSE)*B8</f>
        <v>237636</v>
      </c>
      <c r="F8" s="352">
        <f t="shared" si="2"/>
        <v>0.08772562807</v>
      </c>
      <c r="H8" s="348">
        <v>2030.0</v>
      </c>
      <c r="I8" s="353">
        <f t="shared" si="4"/>
        <v>549969.3374</v>
      </c>
      <c r="J8" s="353">
        <f t="shared" si="3"/>
        <v>45830.77811</v>
      </c>
      <c r="K8" s="355">
        <v>0.15</v>
      </c>
      <c r="L8" s="356"/>
    </row>
    <row r="9" ht="15.75" customHeight="1">
      <c r="A9" s="347" t="s">
        <v>24</v>
      </c>
      <c r="B9" s="348">
        <v>21400.0</v>
      </c>
      <c r="C9" s="349">
        <f>VLOOKUP(A9,Dados!B2:Q105,13,FALSE)</f>
        <v>0.6804649588</v>
      </c>
      <c r="D9" s="350">
        <f t="shared" si="1"/>
        <v>14561.95012</v>
      </c>
      <c r="E9" s="354">
        <f>VLOOKUP(A9,Dados!B2:R105,15,FALSE)*B9</f>
        <v>194740</v>
      </c>
      <c r="F9" s="352">
        <f t="shared" si="2"/>
        <v>0.0747763691</v>
      </c>
      <c r="H9" s="347"/>
      <c r="I9" s="353"/>
      <c r="J9" s="353"/>
    </row>
    <row r="10" ht="15.75" customHeight="1">
      <c r="A10" s="347" t="s">
        <v>213</v>
      </c>
      <c r="B10" s="347">
        <v>6000.0</v>
      </c>
      <c r="C10" s="349">
        <f>VLOOKUP(A10,Dados!B2:Q105,13,FALSE)</f>
        <v>2.37451791</v>
      </c>
      <c r="D10" s="350">
        <f t="shared" si="1"/>
        <v>14247.10746</v>
      </c>
      <c r="E10" s="354">
        <f>VLOOKUP(A10,Dados!B2:R105,15,FALSE)*B10</f>
        <v>186120</v>
      </c>
      <c r="F10" s="352">
        <f t="shared" si="2"/>
        <v>0.07654796616</v>
      </c>
    </row>
    <row r="11" ht="15.75" customHeight="1">
      <c r="A11" s="347" t="s">
        <v>182</v>
      </c>
      <c r="B11" s="358">
        <v>9200.0</v>
      </c>
      <c r="C11" s="349">
        <f>VLOOKUP(A11,Dados!B2:Q105,13,FALSE)</f>
        <v>1.41</v>
      </c>
      <c r="D11" s="350">
        <f t="shared" si="1"/>
        <v>12972</v>
      </c>
      <c r="E11" s="354">
        <f>VLOOKUP(A11,Dados!B2:R105,15,FALSE)*B11</f>
        <v>166888</v>
      </c>
      <c r="F11" s="352">
        <f t="shared" si="2"/>
        <v>0.07772877619</v>
      </c>
    </row>
    <row r="12" ht="15.75" customHeight="1">
      <c r="A12" s="347" t="s">
        <v>254</v>
      </c>
      <c r="B12" s="347">
        <v>6000.0</v>
      </c>
      <c r="C12" s="349">
        <f>VLOOKUP(A12,Dados!B2:Q105,13,FALSE)</f>
        <v>2.158652646</v>
      </c>
      <c r="D12" s="350">
        <f t="shared" si="1"/>
        <v>12951.91587</v>
      </c>
      <c r="E12" s="354">
        <f>VLOOKUP(A12,Dados!B2:R105,15,FALSE)*B12</f>
        <v>187200</v>
      </c>
      <c r="F12" s="352">
        <f t="shared" si="2"/>
        <v>0.06918758479</v>
      </c>
    </row>
    <row r="13" ht="15.75" customHeight="1">
      <c r="A13" s="359" t="s">
        <v>173</v>
      </c>
      <c r="B13" s="348">
        <v>1100.0</v>
      </c>
      <c r="C13" s="349">
        <f>VLOOKUP(A13,Dados!B2:Q105,13,FALSE)</f>
        <v>10.26252443</v>
      </c>
      <c r="D13" s="350">
        <f t="shared" si="1"/>
        <v>11288.77687</v>
      </c>
      <c r="E13" s="354">
        <f>VLOOKUP(A13,Dados!B2:R105,15,FALSE)*B13</f>
        <v>144980</v>
      </c>
      <c r="F13" s="352">
        <f t="shared" si="2"/>
        <v>0.07786437352</v>
      </c>
    </row>
    <row r="14" ht="15.75" customHeight="1">
      <c r="A14" s="347" t="s">
        <v>155</v>
      </c>
      <c r="B14" s="348">
        <v>20700.0</v>
      </c>
      <c r="C14" s="349">
        <f>VLOOKUP(A14,Dados!B2:Q105,13,FALSE)</f>
        <v>0.4131407075</v>
      </c>
      <c r="D14" s="350">
        <f t="shared" si="1"/>
        <v>8552.012644</v>
      </c>
      <c r="E14" s="354">
        <f>VLOOKUP(A14,Dados!B2:R105,15,FALSE)*B14</f>
        <v>153387</v>
      </c>
      <c r="F14" s="352">
        <f t="shared" si="2"/>
        <v>0.05575448144</v>
      </c>
    </row>
    <row r="15" ht="15.75" customHeight="1">
      <c r="A15" s="348"/>
      <c r="B15" s="347"/>
      <c r="C15" s="349"/>
      <c r="D15" s="360"/>
      <c r="E15" s="361"/>
      <c r="F15" s="352"/>
    </row>
    <row r="16" ht="15.75" customHeight="1">
      <c r="A16" s="347"/>
      <c r="B16" s="347"/>
      <c r="C16" s="349"/>
      <c r="D16" s="350"/>
      <c r="E16" s="354"/>
      <c r="F16" s="352"/>
    </row>
    <row r="17" ht="15.75" customHeight="1">
      <c r="A17" s="347"/>
      <c r="B17" s="347"/>
      <c r="C17" s="349"/>
      <c r="D17" s="350"/>
      <c r="E17" s="354"/>
      <c r="F17" s="352"/>
    </row>
    <row r="18" ht="15.75" customHeight="1">
      <c r="A18" s="347"/>
      <c r="B18" s="347"/>
      <c r="C18" s="349"/>
      <c r="D18" s="350"/>
      <c r="E18" s="354"/>
      <c r="F18" s="352"/>
    </row>
    <row r="19" ht="15.75" customHeight="1">
      <c r="A19" s="347"/>
      <c r="B19" s="347"/>
      <c r="C19" s="349"/>
      <c r="D19" s="350"/>
      <c r="E19" s="350"/>
      <c r="F19" s="350"/>
    </row>
    <row r="20" ht="15.75" customHeight="1">
      <c r="A20" s="347"/>
      <c r="B20" s="347"/>
      <c r="C20" s="349"/>
      <c r="D20" s="350"/>
      <c r="E20" s="350"/>
      <c r="F20" s="350"/>
    </row>
    <row r="21" ht="15.75" customHeight="1">
      <c r="A21" s="347"/>
      <c r="B21" s="347"/>
      <c r="C21" s="349"/>
      <c r="D21" s="350"/>
      <c r="E21" s="350"/>
      <c r="F21" s="350"/>
    </row>
    <row r="22" ht="15.75" customHeight="1">
      <c r="A22" s="347"/>
      <c r="B22" s="347"/>
      <c r="C22" s="362" t="s">
        <v>285</v>
      </c>
      <c r="D22" s="363">
        <f>SUM(D4:D21)</f>
        <v>277237.2211</v>
      </c>
    </row>
    <row r="23" ht="15.75" customHeight="1">
      <c r="A23" s="347"/>
      <c r="B23" s="347"/>
      <c r="C23" s="364" t="s">
        <v>292</v>
      </c>
      <c r="D23" s="365">
        <f>D22/12</f>
        <v>23103.10176</v>
      </c>
    </row>
    <row r="24" ht="15.75" customHeight="1">
      <c r="A24" s="366"/>
      <c r="B24" s="366"/>
      <c r="C24" s="367"/>
      <c r="D24" s="367"/>
    </row>
    <row r="25" ht="15.75" customHeight="1">
      <c r="A25" s="366"/>
      <c r="B25" s="366"/>
      <c r="C25" s="368" t="s">
        <v>293</v>
      </c>
      <c r="D25" s="368">
        <f>SUM(E4:E21)</f>
        <v>3851216</v>
      </c>
    </row>
    <row r="26" ht="15.75" customHeight="1">
      <c r="A26" s="366"/>
      <c r="B26" s="366"/>
      <c r="C26" s="369" t="s">
        <v>294</v>
      </c>
      <c r="D26" s="370">
        <f>D22/D25</f>
        <v>0.07198693117</v>
      </c>
    </row>
    <row r="27" ht="15.75" customHeight="1">
      <c r="C27" s="371"/>
      <c r="D27" s="371"/>
    </row>
    <row r="28" ht="15.75" customHeight="1">
      <c r="C28" s="371"/>
      <c r="D28" s="37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3:$D$21">
    <sortState ref="A3:D21">
      <sortCondition descending="1" ref="D3:D21"/>
    </sortState>
  </autoFilter>
  <hyperlinks>
    <hyperlink r:id="rId1" ref="B1"/>
  </hyperlinks>
  <printOptions/>
  <pageMargins bottom="0.787401575" footer="0.0" header="0.0" left="0.511811024" right="0.511811024" top="0.7874015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14.88"/>
    <col customWidth="1" min="3" max="3" width="25.13"/>
    <col customWidth="1" min="4" max="4" width="27.38"/>
    <col customWidth="1" min="5" max="5" width="14.13"/>
    <col customWidth="1" min="6" max="6" width="13.5"/>
    <col customWidth="1" min="7" max="7" width="4.5"/>
    <col customWidth="1" min="8" max="8" width="11.88"/>
    <col customWidth="1" min="9" max="10" width="29.0"/>
    <col customWidth="1" min="11" max="11" width="30.5"/>
  </cols>
  <sheetData>
    <row r="1" ht="15.75" customHeight="1">
      <c r="A1" s="348" t="s">
        <v>295</v>
      </c>
      <c r="B1" s="372" t="s">
        <v>296</v>
      </c>
      <c r="C1" s="348"/>
      <c r="D1" s="348"/>
      <c r="E1" s="357"/>
      <c r="F1" s="359"/>
      <c r="H1" s="347"/>
      <c r="I1" s="348"/>
      <c r="J1" s="348"/>
      <c r="K1" s="373"/>
    </row>
    <row r="2" ht="15.75" customHeight="1">
      <c r="A2" s="347"/>
      <c r="B2" s="347"/>
      <c r="C2" s="348"/>
      <c r="D2" s="348"/>
      <c r="E2" s="357"/>
      <c r="F2" s="359"/>
      <c r="H2" s="347"/>
      <c r="I2" s="348"/>
      <c r="J2" s="348"/>
      <c r="K2" s="373"/>
    </row>
    <row r="3" ht="15.75" customHeight="1">
      <c r="A3" s="343" t="s">
        <v>282</v>
      </c>
      <c r="B3" s="344" t="s">
        <v>283</v>
      </c>
      <c r="C3" s="374" t="s">
        <v>297</v>
      </c>
      <c r="D3" s="346" t="s">
        <v>298</v>
      </c>
      <c r="E3" s="338" t="s">
        <v>286</v>
      </c>
      <c r="F3" s="375" t="s">
        <v>299</v>
      </c>
      <c r="H3" s="343" t="s">
        <v>288</v>
      </c>
      <c r="I3" s="376" t="s">
        <v>300</v>
      </c>
      <c r="J3" s="346" t="s">
        <v>301</v>
      </c>
      <c r="K3" s="342" t="s">
        <v>291</v>
      </c>
    </row>
    <row r="4" ht="15.75" customHeight="1">
      <c r="A4" s="347" t="s">
        <v>240</v>
      </c>
      <c r="B4" s="348">
        <v>34000.0</v>
      </c>
      <c r="C4" s="349">
        <f>VLOOKUP(A4,Dados!B2:Q105,11,FALSE)</f>
        <v>2.774617796</v>
      </c>
      <c r="D4" s="350">
        <f t="shared" ref="D4:D14" si="1">B4*C4</f>
        <v>94337.00508</v>
      </c>
      <c r="E4" s="351">
        <f>VLOOKUP(A4,Dados!B2:R105,15,FALSE)*B4</f>
        <v>990760</v>
      </c>
      <c r="F4" s="352">
        <f t="shared" ref="F4:F14" si="2">D4/E4</f>
        <v>0.09521680839</v>
      </c>
      <c r="H4" s="348">
        <v>2026.0</v>
      </c>
      <c r="I4" s="353">
        <f>D24</f>
        <v>442447.4907</v>
      </c>
      <c r="J4" s="353">
        <f t="shared" ref="J4:J8" si="3">I4/12</f>
        <v>36870.62422</v>
      </c>
    </row>
    <row r="5" ht="15.75" customHeight="1">
      <c r="A5" s="347" t="s">
        <v>180</v>
      </c>
      <c r="B5" s="348">
        <v>20000.0</v>
      </c>
      <c r="C5" s="349">
        <f>VLOOKUP(A5,Dados!B2:Q105,11,FALSE)</f>
        <v>4.204112354</v>
      </c>
      <c r="D5" s="350">
        <f t="shared" si="1"/>
        <v>84082.24708</v>
      </c>
      <c r="E5" s="354">
        <f>VLOOKUP(A5,Dados!B2:R105,15,FALSE)*B5</f>
        <v>476200</v>
      </c>
      <c r="F5" s="352">
        <f t="shared" si="2"/>
        <v>0.1765691875</v>
      </c>
      <c r="H5" s="348">
        <v>2027.0</v>
      </c>
      <c r="I5" s="353">
        <f t="shared" ref="I5:I8" si="4">I4*(1+K5)</f>
        <v>553059.3634</v>
      </c>
      <c r="J5" s="353">
        <f t="shared" si="3"/>
        <v>46088.28028</v>
      </c>
      <c r="K5" s="355">
        <v>0.25</v>
      </c>
      <c r="L5" s="356"/>
    </row>
    <row r="6" ht="15.75" customHeight="1">
      <c r="A6" s="348" t="s">
        <v>114</v>
      </c>
      <c r="B6" s="348">
        <v>14700.0</v>
      </c>
      <c r="C6" s="349">
        <f>VLOOKUP(A6,Dados!B2:Q105,11,FALSE)</f>
        <v>5.41315939</v>
      </c>
      <c r="D6" s="350">
        <f t="shared" si="1"/>
        <v>79573.44304</v>
      </c>
      <c r="E6" s="354">
        <f>VLOOKUP(A6,Dados!B2:R105,15,FALSE)*B6</f>
        <v>654150</v>
      </c>
      <c r="F6" s="352">
        <f t="shared" si="2"/>
        <v>0.1216440312</v>
      </c>
      <c r="H6" s="348">
        <v>2028.0</v>
      </c>
      <c r="I6" s="353">
        <f t="shared" si="4"/>
        <v>663671.236</v>
      </c>
      <c r="J6" s="353">
        <f t="shared" si="3"/>
        <v>55305.93634</v>
      </c>
      <c r="K6" s="355">
        <v>0.2</v>
      </c>
      <c r="L6" s="356"/>
    </row>
    <row r="7" ht="15.75" customHeight="1">
      <c r="A7" s="347" t="s">
        <v>83</v>
      </c>
      <c r="B7" s="348">
        <v>13100.0</v>
      </c>
      <c r="C7" s="349">
        <f>VLOOKUP(A7,Dados!B2:Q105,11,FALSE)</f>
        <v>4.455972371</v>
      </c>
      <c r="D7" s="350">
        <f t="shared" si="1"/>
        <v>58373.23806</v>
      </c>
      <c r="E7" s="354">
        <f>VLOOKUP(A7,Dados!B2:R105,15,FALSE)*B7</f>
        <v>459155</v>
      </c>
      <c r="F7" s="352">
        <f t="shared" si="2"/>
        <v>0.1271318793</v>
      </c>
      <c r="H7" s="348">
        <v>2029.0</v>
      </c>
      <c r="I7" s="353">
        <f t="shared" si="4"/>
        <v>763221.9214</v>
      </c>
      <c r="J7" s="353">
        <f t="shared" si="3"/>
        <v>63601.82679</v>
      </c>
      <c r="K7" s="355">
        <v>0.15</v>
      </c>
      <c r="L7" s="356"/>
    </row>
    <row r="8" ht="15.75" customHeight="1">
      <c r="A8" s="357" t="s">
        <v>127</v>
      </c>
      <c r="B8" s="348">
        <v>6900.0</v>
      </c>
      <c r="C8" s="349">
        <f>VLOOKUP(A8,Dados!B2:Q105,11,FALSE)</f>
        <v>4.648108662</v>
      </c>
      <c r="D8" s="350">
        <f t="shared" si="1"/>
        <v>32071.94977</v>
      </c>
      <c r="E8" s="354">
        <f>VLOOKUP(A8,Dados!B2:R105,15,FALSE)*B8</f>
        <v>237636</v>
      </c>
      <c r="F8" s="352">
        <f t="shared" si="2"/>
        <v>0.1349625047</v>
      </c>
      <c r="H8" s="348">
        <v>2030.0</v>
      </c>
      <c r="I8" s="353">
        <f t="shared" si="4"/>
        <v>877705.2096</v>
      </c>
      <c r="J8" s="353">
        <f t="shared" si="3"/>
        <v>73142.1008</v>
      </c>
      <c r="K8" s="355">
        <v>0.15</v>
      </c>
      <c r="L8" s="356"/>
    </row>
    <row r="9" ht="15.75" customHeight="1">
      <c r="A9" s="347" t="s">
        <v>24</v>
      </c>
      <c r="B9" s="348">
        <v>21400.0</v>
      </c>
      <c r="C9" s="349">
        <f>VLOOKUP(A9,Dados!B2:Q105,11,FALSE)</f>
        <v>0.9720927982</v>
      </c>
      <c r="D9" s="350">
        <f t="shared" si="1"/>
        <v>20802.78588</v>
      </c>
      <c r="E9" s="354">
        <f>VLOOKUP(A9,Dados!B2:R105,15,FALSE)*B9</f>
        <v>194740</v>
      </c>
      <c r="F9" s="352">
        <f t="shared" si="2"/>
        <v>0.1068233844</v>
      </c>
      <c r="H9" s="347"/>
      <c r="I9" s="353"/>
      <c r="J9" s="353"/>
    </row>
    <row r="10" ht="15.75" customHeight="1">
      <c r="A10" s="347" t="s">
        <v>213</v>
      </c>
      <c r="B10" s="347">
        <v>6000.0</v>
      </c>
      <c r="C10" s="349">
        <f>VLOOKUP(A10,Dados!B2:Q105,11,FALSE)</f>
        <v>2.774617796</v>
      </c>
      <c r="D10" s="350">
        <f t="shared" si="1"/>
        <v>16647.70678</v>
      </c>
      <c r="E10" s="354">
        <f>VLOOKUP(A10,Dados!B2:R105,15,FALSE)*B10</f>
        <v>186120</v>
      </c>
      <c r="F10" s="352">
        <f t="shared" si="2"/>
        <v>0.08944609273</v>
      </c>
    </row>
    <row r="11" ht="15.75" customHeight="1">
      <c r="A11" s="347" t="s">
        <v>254</v>
      </c>
      <c r="B11" s="347">
        <v>6000.0</v>
      </c>
      <c r="C11" s="349">
        <f>VLOOKUP(A11,Dados!B2:Q105,11,FALSE)</f>
        <v>2.774617796</v>
      </c>
      <c r="D11" s="350">
        <f t="shared" si="1"/>
        <v>16647.70678</v>
      </c>
      <c r="E11" s="354">
        <f>VLOOKUP(A11,Dados!B2:R105,15,FALSE)*B11</f>
        <v>187200</v>
      </c>
      <c r="F11" s="352">
        <f t="shared" si="2"/>
        <v>0.08893005758</v>
      </c>
    </row>
    <row r="12" ht="15.75" customHeight="1">
      <c r="A12" s="347" t="s">
        <v>182</v>
      </c>
      <c r="B12" s="358">
        <v>9200.0</v>
      </c>
      <c r="C12" s="349">
        <f>VLOOKUP(A12,Dados!B2:Q105,11,FALSE)</f>
        <v>1.566666667</v>
      </c>
      <c r="D12" s="350">
        <f t="shared" si="1"/>
        <v>14413.33333</v>
      </c>
      <c r="E12" s="354">
        <f>VLOOKUP(A12,Dados!B2:R105,15,FALSE)*B12</f>
        <v>166888</v>
      </c>
      <c r="F12" s="352">
        <f t="shared" si="2"/>
        <v>0.08636530687</v>
      </c>
    </row>
    <row r="13" ht="15.75" customHeight="1">
      <c r="A13" s="359" t="s">
        <v>173</v>
      </c>
      <c r="B13" s="348">
        <v>1100.0</v>
      </c>
      <c r="C13" s="349">
        <f>VLOOKUP(A13,Dados!B2:Q105,11,FALSE)</f>
        <v>12.07355815</v>
      </c>
      <c r="D13" s="350">
        <f t="shared" si="1"/>
        <v>13280.91397</v>
      </c>
      <c r="E13" s="354">
        <f>VLOOKUP(A13,Dados!B2:R105,15,FALSE)*B13</f>
        <v>144980</v>
      </c>
      <c r="F13" s="352">
        <f t="shared" si="2"/>
        <v>0.09160514532</v>
      </c>
    </row>
    <row r="14" ht="15.75" customHeight="1">
      <c r="A14" s="347" t="s">
        <v>155</v>
      </c>
      <c r="B14" s="348">
        <v>20700.0</v>
      </c>
      <c r="C14" s="349">
        <f>VLOOKUP(A14,Dados!B2:Q105,11,FALSE)</f>
        <v>0.5902010107</v>
      </c>
      <c r="D14" s="350">
        <f t="shared" si="1"/>
        <v>12217.16092</v>
      </c>
      <c r="E14" s="354">
        <f>VLOOKUP(A14,Dados!B2:R105,15,FALSE)*B14</f>
        <v>153387</v>
      </c>
      <c r="F14" s="352">
        <f t="shared" si="2"/>
        <v>0.0796492592</v>
      </c>
    </row>
    <row r="15" ht="15.75" customHeight="1">
      <c r="A15" s="347"/>
      <c r="B15" s="347"/>
      <c r="C15" s="349"/>
      <c r="D15" s="350"/>
      <c r="E15" s="354"/>
      <c r="F15" s="352"/>
    </row>
    <row r="16" ht="15.75" customHeight="1">
      <c r="A16" s="347"/>
      <c r="B16" s="347"/>
      <c r="C16" s="349"/>
      <c r="D16" s="350"/>
      <c r="E16" s="354"/>
      <c r="F16" s="352"/>
    </row>
    <row r="17" ht="15.75" customHeight="1">
      <c r="A17" s="347"/>
      <c r="B17" s="347"/>
      <c r="C17" s="349"/>
      <c r="D17" s="350"/>
      <c r="E17" s="354"/>
      <c r="F17" s="352"/>
    </row>
    <row r="18" ht="15.75" customHeight="1">
      <c r="A18" s="347"/>
      <c r="B18" s="347"/>
      <c r="C18" s="349"/>
      <c r="D18" s="350"/>
      <c r="E18" s="354"/>
      <c r="F18" s="352"/>
    </row>
    <row r="19" ht="15.75" customHeight="1">
      <c r="A19" s="347"/>
      <c r="B19" s="347"/>
      <c r="C19" s="349"/>
      <c r="D19" s="350"/>
      <c r="E19" s="350"/>
      <c r="F19" s="350"/>
    </row>
    <row r="20" ht="15.75" customHeight="1">
      <c r="A20" s="347"/>
      <c r="B20" s="347"/>
      <c r="C20" s="349"/>
      <c r="D20" s="350"/>
      <c r="E20" s="350"/>
      <c r="F20" s="350"/>
    </row>
    <row r="21" ht="15.75" customHeight="1">
      <c r="A21" s="347"/>
      <c r="B21" s="347"/>
      <c r="C21" s="349"/>
      <c r="D21" s="350"/>
      <c r="E21" s="350"/>
      <c r="F21" s="350"/>
    </row>
    <row r="22" ht="15.75" customHeight="1">
      <c r="A22" s="347"/>
      <c r="B22" s="347"/>
      <c r="C22" s="349"/>
      <c r="D22" s="350"/>
      <c r="E22" s="350"/>
      <c r="F22" s="350"/>
    </row>
    <row r="23" ht="15.75" customHeight="1">
      <c r="A23" s="347"/>
      <c r="B23" s="347"/>
      <c r="C23" s="349"/>
      <c r="D23" s="350"/>
      <c r="E23" s="350"/>
      <c r="F23" s="350"/>
    </row>
    <row r="24" ht="15.75" customHeight="1">
      <c r="A24" s="347"/>
      <c r="B24" s="347"/>
      <c r="C24" s="377" t="s">
        <v>302</v>
      </c>
      <c r="D24" s="378">
        <f>SUM(D4:D23)</f>
        <v>442447.4907</v>
      </c>
    </row>
    <row r="25" ht="15.75" customHeight="1">
      <c r="A25" s="347"/>
      <c r="B25" s="347"/>
      <c r="C25" s="379" t="s">
        <v>301</v>
      </c>
      <c r="D25" s="380">
        <f>D24/12</f>
        <v>36870.62422</v>
      </c>
    </row>
    <row r="26" ht="15.75" customHeight="1">
      <c r="A26" s="366"/>
      <c r="B26" s="366"/>
      <c r="C26" s="381" t="s">
        <v>303</v>
      </c>
      <c r="D26" s="382">
        <f>D24/365</f>
        <v>1212.184906</v>
      </c>
    </row>
    <row r="27" ht="15.75" customHeight="1">
      <c r="A27" s="366"/>
      <c r="B27" s="366"/>
      <c r="C27" s="383" t="s">
        <v>293</v>
      </c>
      <c r="D27" s="383">
        <f>SUM(E4:E23)</f>
        <v>3851216</v>
      </c>
    </row>
    <row r="28" ht="15.75" customHeight="1">
      <c r="A28" s="366"/>
      <c r="B28" s="366"/>
      <c r="C28" s="384" t="s">
        <v>304</v>
      </c>
      <c r="D28" s="370">
        <f>D24/D27</f>
        <v>0.1148851404</v>
      </c>
    </row>
    <row r="29" ht="15.75" customHeight="1">
      <c r="C29" s="371"/>
      <c r="D29" s="371"/>
    </row>
    <row r="30" ht="15.75" customHeight="1">
      <c r="C30" s="371"/>
      <c r="D30" s="37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autoFilter ref="$A$3:$D$23">
    <sortState ref="A3:D23">
      <sortCondition descending="1" ref="D3:D23"/>
    </sortState>
  </autoFilter>
  <hyperlinks>
    <hyperlink r:id="rId1" ref="B1"/>
  </hyperlinks>
  <printOptions/>
  <pageMargins bottom="0.787401575" footer="0.0" header="0.0" left="0.511811024" right="0.511811024" top="0.7874015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63"/>
    <col customWidth="1" min="2" max="2" width="29.0"/>
    <col customWidth="1" min="3" max="6" width="11.88"/>
  </cols>
  <sheetData>
    <row r="1" ht="34.5" customHeight="1">
      <c r="A1" s="385" t="s">
        <v>305</v>
      </c>
      <c r="B1" s="386"/>
    </row>
    <row r="2" ht="15.75" customHeight="1">
      <c r="A2" s="387"/>
      <c r="B2" s="386"/>
    </row>
    <row r="3" ht="15.75" customHeight="1">
      <c r="A3" s="387"/>
      <c r="B3" s="386"/>
    </row>
    <row r="4" ht="15.75" customHeight="1">
      <c r="A4" s="388" t="s">
        <v>306</v>
      </c>
      <c r="B4" s="389" t="s">
        <v>307</v>
      </c>
    </row>
    <row r="5" ht="15.75" customHeight="1">
      <c r="A5" s="390"/>
      <c r="B5" s="386"/>
    </row>
    <row r="6" ht="15.75" customHeight="1">
      <c r="A6" s="391" t="s">
        <v>308</v>
      </c>
      <c r="B6" s="392" t="s">
        <v>309</v>
      </c>
    </row>
    <row r="7" ht="15.75" customHeight="1">
      <c r="A7" s="393"/>
    </row>
    <row r="8" ht="15.75" customHeight="1">
      <c r="A8" s="394" t="s">
        <v>310</v>
      </c>
      <c r="B8" s="395" t="s">
        <v>311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2" ref="B4"/>
    <hyperlink r:id="rId3" ref="B6"/>
    <hyperlink r:id="rId4" ref="B8"/>
  </hyperlinks>
  <printOptions/>
  <pageMargins bottom="0.787401575" footer="0.0" header="0.0" left="0.511811024" right="0.511811024" top="0.787401575"/>
  <pageSetup orientation="landscape"/>
  <drawing r:id="rId5"/>
  <legacyDrawing r:id="rId6"/>
</worksheet>
</file>